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DieseArbeitsmappe" defaultThemeVersion="124226"/>
  <bookViews>
    <workbookView xWindow="240" yWindow="105" windowWidth="14805" windowHeight="8010"/>
  </bookViews>
  <sheets>
    <sheet name="Tabelle1" sheetId="1" r:id="rId1"/>
    <sheet name="Tabelle2" sheetId="2" r:id="rId2"/>
    <sheet name="Tabelle3" sheetId="3" r:id="rId3"/>
  </sheets>
  <calcPr calcId="152511"/>
</workbook>
</file>

<file path=xl/calcChain.xml><?xml version="1.0" encoding="utf-8"?>
<calcChain xmlns="http://schemas.openxmlformats.org/spreadsheetml/2006/main">
  <c r="D103" i="3" l="1"/>
  <c r="D104" i="3" s="1"/>
  <c r="D105" i="3" s="1"/>
  <c r="E102" i="3"/>
  <c r="E106" i="3" s="1"/>
  <c r="D102" i="3"/>
  <c r="D106" i="3" s="1"/>
  <c r="B102" i="3"/>
  <c r="B106" i="3" s="1"/>
  <c r="B110" i="3" s="1"/>
  <c r="B114" i="3" s="1"/>
  <c r="B118" i="3" s="1"/>
  <c r="B122" i="3" s="1"/>
  <c r="B126" i="3" s="1"/>
  <c r="B101" i="3"/>
  <c r="B105" i="3" s="1"/>
  <c r="B109" i="3" s="1"/>
  <c r="B113" i="3" s="1"/>
  <c r="B117" i="3" s="1"/>
  <c r="B121" i="3" s="1"/>
  <c r="B125" i="3" s="1"/>
  <c r="B129" i="3" s="1"/>
  <c r="E100" i="3"/>
  <c r="E101" i="3" s="1"/>
  <c r="B100" i="3"/>
  <c r="B104" i="3" s="1"/>
  <c r="B108" i="3" s="1"/>
  <c r="B112" i="3" s="1"/>
  <c r="B116" i="3" s="1"/>
  <c r="B120" i="3" s="1"/>
  <c r="B124" i="3" s="1"/>
  <c r="B128" i="3" s="1"/>
  <c r="E99" i="3"/>
  <c r="D99" i="3"/>
  <c r="D100" i="3" s="1"/>
  <c r="D101" i="3" s="1"/>
  <c r="B99" i="3"/>
  <c r="B103" i="3" s="1"/>
  <c r="B107" i="3" s="1"/>
  <c r="B111" i="3" s="1"/>
  <c r="B115" i="3" s="1"/>
  <c r="B119" i="3" s="1"/>
  <c r="B123" i="3" s="1"/>
  <c r="B127" i="3" s="1"/>
  <c r="D71" i="3"/>
  <c r="D72" i="3" s="1"/>
  <c r="D73" i="3" s="1"/>
  <c r="E70" i="3"/>
  <c r="E74" i="3" s="1"/>
  <c r="D70" i="3"/>
  <c r="D74" i="3" s="1"/>
  <c r="B70" i="3"/>
  <c r="B74" i="3" s="1"/>
  <c r="B78" i="3" s="1"/>
  <c r="B82" i="3" s="1"/>
  <c r="B86" i="3" s="1"/>
  <c r="B90" i="3" s="1"/>
  <c r="B94" i="3" s="1"/>
  <c r="B69" i="3"/>
  <c r="B73" i="3" s="1"/>
  <c r="B77" i="3" s="1"/>
  <c r="B81" i="3" s="1"/>
  <c r="B85" i="3" s="1"/>
  <c r="B89" i="3" s="1"/>
  <c r="B93" i="3" s="1"/>
  <c r="B97" i="3" s="1"/>
  <c r="E68" i="3"/>
  <c r="E69" i="3" s="1"/>
  <c r="B68" i="3"/>
  <c r="B72" i="3" s="1"/>
  <c r="B76" i="3" s="1"/>
  <c r="B80" i="3" s="1"/>
  <c r="B84" i="3" s="1"/>
  <c r="B88" i="3" s="1"/>
  <c r="B92" i="3" s="1"/>
  <c r="B96" i="3" s="1"/>
  <c r="E67" i="3"/>
  <c r="D67" i="3"/>
  <c r="D68" i="3" s="1"/>
  <c r="D69" i="3" s="1"/>
  <c r="B67" i="3"/>
  <c r="B71" i="3" s="1"/>
  <c r="B75" i="3" s="1"/>
  <c r="B79" i="3" s="1"/>
  <c r="B83" i="3" s="1"/>
  <c r="B87" i="3" s="1"/>
  <c r="B91" i="3" s="1"/>
  <c r="B95" i="3" s="1"/>
  <c r="E46" i="3"/>
  <c r="E50" i="3" s="1"/>
  <c r="D39" i="3"/>
  <c r="D40" i="3" s="1"/>
  <c r="D41" i="3" s="1"/>
  <c r="E38" i="3"/>
  <c r="E42" i="3" s="1"/>
  <c r="E43" i="3" s="1"/>
  <c r="E44" i="3" s="1"/>
  <c r="E45" i="3" s="1"/>
  <c r="D38" i="3"/>
  <c r="D42" i="3" s="1"/>
  <c r="B38" i="3"/>
  <c r="B42" i="3" s="1"/>
  <c r="B46" i="3" s="1"/>
  <c r="B50" i="3" s="1"/>
  <c r="B54" i="3" s="1"/>
  <c r="B58" i="3" s="1"/>
  <c r="B62" i="3" s="1"/>
  <c r="B37" i="3"/>
  <c r="B41" i="3" s="1"/>
  <c r="B45" i="3" s="1"/>
  <c r="B49" i="3" s="1"/>
  <c r="B53" i="3" s="1"/>
  <c r="B57" i="3" s="1"/>
  <c r="B61" i="3" s="1"/>
  <c r="B65" i="3" s="1"/>
  <c r="E36" i="3"/>
  <c r="E37" i="3" s="1"/>
  <c r="B36" i="3"/>
  <c r="B40" i="3" s="1"/>
  <c r="B44" i="3" s="1"/>
  <c r="B48" i="3" s="1"/>
  <c r="B52" i="3" s="1"/>
  <c r="B56" i="3" s="1"/>
  <c r="B60" i="3" s="1"/>
  <c r="B64" i="3" s="1"/>
  <c r="E35" i="3"/>
  <c r="D35" i="3"/>
  <c r="D36" i="3" s="1"/>
  <c r="D37" i="3" s="1"/>
  <c r="B35" i="3"/>
  <c r="B39" i="3" s="1"/>
  <c r="B43" i="3" s="1"/>
  <c r="B47" i="3" s="1"/>
  <c r="B51" i="3" s="1"/>
  <c r="B55" i="3" s="1"/>
  <c r="B59" i="3" s="1"/>
  <c r="B63" i="3" s="1"/>
  <c r="E32" i="3"/>
  <c r="E33" i="3" s="1"/>
  <c r="E31" i="3"/>
  <c r="D31" i="3"/>
  <c r="D32" i="3" s="1"/>
  <c r="D33" i="3" s="1"/>
  <c r="E30" i="3"/>
  <c r="D30" i="3"/>
  <c r="B30" i="3"/>
  <c r="E10" i="3"/>
  <c r="E11" i="3" s="1"/>
  <c r="E12" i="3" s="1"/>
  <c r="E13" i="3" s="1"/>
  <c r="E6" i="3"/>
  <c r="E7" i="3" s="1"/>
  <c r="E8" i="3" s="1"/>
  <c r="E9" i="3" s="1"/>
  <c r="E14" i="3"/>
  <c r="E15" i="3" s="1"/>
  <c r="E16" i="3" s="1"/>
  <c r="E17" i="3" s="1"/>
  <c r="E4" i="3"/>
  <c r="E5" i="3" s="1"/>
  <c r="E3" i="3"/>
  <c r="B6" i="3"/>
  <c r="B10" i="3" s="1"/>
  <c r="B14" i="3" s="1"/>
  <c r="B18" i="3" s="1"/>
  <c r="B22" i="3" s="1"/>
  <c r="B26" i="3" s="1"/>
  <c r="B3" i="3"/>
  <c r="B4" i="3" s="1"/>
  <c r="B5" i="3" s="1"/>
  <c r="B9" i="3" s="1"/>
  <c r="B13" i="3" s="1"/>
  <c r="B17" i="3" s="1"/>
  <c r="B21" i="3" s="1"/>
  <c r="B25" i="3" s="1"/>
  <c r="B29" i="3" s="1"/>
  <c r="B33" i="3" s="1"/>
  <c r="D10" i="3"/>
  <c r="D14" i="3" s="1"/>
  <c r="D6" i="3"/>
  <c r="D7" i="3" s="1"/>
  <c r="D8" i="3" s="1"/>
  <c r="D9" i="3" s="1"/>
  <c r="D3" i="3"/>
  <c r="D4" i="3" s="1"/>
  <c r="D5" i="3" s="1"/>
  <c r="E103" i="3" l="1"/>
  <c r="E104" i="3" s="1"/>
  <c r="E105" i="3" s="1"/>
  <c r="D110" i="3"/>
  <c r="D107" i="3"/>
  <c r="D108" i="3" s="1"/>
  <c r="D109" i="3" s="1"/>
  <c r="E110" i="3"/>
  <c r="E107" i="3"/>
  <c r="E108" i="3" s="1"/>
  <c r="E109" i="3" s="1"/>
  <c r="E71" i="3"/>
  <c r="E72" i="3" s="1"/>
  <c r="E73" i="3" s="1"/>
  <c r="D78" i="3"/>
  <c r="D75" i="3"/>
  <c r="D76" i="3" s="1"/>
  <c r="D77" i="3" s="1"/>
  <c r="E78" i="3"/>
  <c r="E75" i="3"/>
  <c r="E76" i="3" s="1"/>
  <c r="E77" i="3" s="1"/>
  <c r="E47" i="3"/>
  <c r="E48" i="3" s="1"/>
  <c r="E49" i="3" s="1"/>
  <c r="E39" i="3"/>
  <c r="E40" i="3" s="1"/>
  <c r="E41" i="3" s="1"/>
  <c r="E54" i="3"/>
  <c r="E51" i="3"/>
  <c r="E52" i="3" s="1"/>
  <c r="E53" i="3" s="1"/>
  <c r="D46" i="3"/>
  <c r="D43" i="3"/>
  <c r="D44" i="3" s="1"/>
  <c r="D45" i="3" s="1"/>
  <c r="B8" i="3"/>
  <c r="B12" i="3" s="1"/>
  <c r="B16" i="3" s="1"/>
  <c r="B20" i="3" s="1"/>
  <c r="B24" i="3" s="1"/>
  <c r="B28" i="3" s="1"/>
  <c r="B32" i="3" s="1"/>
  <c r="B7" i="3"/>
  <c r="B11" i="3" s="1"/>
  <c r="B15" i="3" s="1"/>
  <c r="B19" i="3" s="1"/>
  <c r="B23" i="3" s="1"/>
  <c r="B27" i="3" s="1"/>
  <c r="B31" i="3" s="1"/>
  <c r="E18" i="3"/>
  <c r="D18" i="3"/>
  <c r="D15" i="3"/>
  <c r="D16" i="3" s="1"/>
  <c r="D17" i="3" s="1"/>
  <c r="D11" i="3"/>
  <c r="D12" i="3" s="1"/>
  <c r="D13" i="3" s="1"/>
  <c r="D114" i="3" l="1"/>
  <c r="D111" i="3"/>
  <c r="D112" i="3" s="1"/>
  <c r="D113" i="3" s="1"/>
  <c r="E114" i="3"/>
  <c r="E111" i="3"/>
  <c r="E112" i="3" s="1"/>
  <c r="E113" i="3" s="1"/>
  <c r="D82" i="3"/>
  <c r="D79" i="3"/>
  <c r="D80" i="3" s="1"/>
  <c r="D81" i="3" s="1"/>
  <c r="E82" i="3"/>
  <c r="E79" i="3"/>
  <c r="E80" i="3" s="1"/>
  <c r="E81" i="3" s="1"/>
  <c r="E58" i="3"/>
  <c r="E55" i="3"/>
  <c r="E56" i="3" s="1"/>
  <c r="E57" i="3" s="1"/>
  <c r="D50" i="3"/>
  <c r="D47" i="3"/>
  <c r="D48" i="3" s="1"/>
  <c r="D49" i="3" s="1"/>
  <c r="E19" i="3"/>
  <c r="E20" i="3" s="1"/>
  <c r="E21" i="3" s="1"/>
  <c r="E22" i="3"/>
  <c r="D22" i="3"/>
  <c r="D19" i="3"/>
  <c r="D20" i="3" s="1"/>
  <c r="D21" i="3" s="1"/>
  <c r="E118" i="3" l="1"/>
  <c r="E115" i="3"/>
  <c r="E116" i="3" s="1"/>
  <c r="E117" i="3" s="1"/>
  <c r="D118" i="3"/>
  <c r="D115" i="3"/>
  <c r="D116" i="3" s="1"/>
  <c r="D117" i="3" s="1"/>
  <c r="E86" i="3"/>
  <c r="E83" i="3"/>
  <c r="E84" i="3" s="1"/>
  <c r="E85" i="3" s="1"/>
  <c r="D86" i="3"/>
  <c r="D83" i="3"/>
  <c r="D84" i="3" s="1"/>
  <c r="D85" i="3" s="1"/>
  <c r="D54" i="3"/>
  <c r="D51" i="3"/>
  <c r="D52" i="3" s="1"/>
  <c r="D53" i="3" s="1"/>
  <c r="E62" i="3"/>
  <c r="E63" i="3" s="1"/>
  <c r="E64" i="3" s="1"/>
  <c r="E65" i="3" s="1"/>
  <c r="E59" i="3"/>
  <c r="E60" i="3" s="1"/>
  <c r="E61" i="3" s="1"/>
  <c r="D23" i="3"/>
  <c r="D24" i="3" s="1"/>
  <c r="D25" i="3" s="1"/>
  <c r="D26" i="3"/>
  <c r="D27" i="3" s="1"/>
  <c r="D28" i="3" s="1"/>
  <c r="D29" i="3" s="1"/>
  <c r="E23" i="3"/>
  <c r="E24" i="3" s="1"/>
  <c r="E25" i="3" s="1"/>
  <c r="E26" i="3"/>
  <c r="E27" i="3" s="1"/>
  <c r="E28" i="3" s="1"/>
  <c r="E29" i="3" s="1"/>
  <c r="F7" i="2"/>
  <c r="F6" i="2"/>
  <c r="F5" i="2"/>
  <c r="F4" i="2"/>
  <c r="F3" i="2"/>
  <c r="F2" i="2"/>
  <c r="F1" i="2"/>
  <c r="E122" i="3" l="1"/>
  <c r="E119" i="3"/>
  <c r="E120" i="3" s="1"/>
  <c r="E121" i="3" s="1"/>
  <c r="D122" i="3"/>
  <c r="D119" i="3"/>
  <c r="D120" i="3" s="1"/>
  <c r="D121" i="3" s="1"/>
  <c r="E90" i="3"/>
  <c r="E87" i="3"/>
  <c r="E88" i="3" s="1"/>
  <c r="E89" i="3" s="1"/>
  <c r="D90" i="3"/>
  <c r="D87" i="3"/>
  <c r="D88" i="3" s="1"/>
  <c r="D89" i="3" s="1"/>
  <c r="D58" i="3"/>
  <c r="D55" i="3"/>
  <c r="D56" i="3" s="1"/>
  <c r="D57" i="3" s="1"/>
  <c r="D126" i="3" l="1"/>
  <c r="D127" i="3" s="1"/>
  <c r="D128" i="3" s="1"/>
  <c r="D129" i="3" s="1"/>
  <c r="D123" i="3"/>
  <c r="D124" i="3" s="1"/>
  <c r="D125" i="3" s="1"/>
  <c r="E126" i="3"/>
  <c r="E127" i="3" s="1"/>
  <c r="E128" i="3" s="1"/>
  <c r="E129" i="3" s="1"/>
  <c r="E123" i="3"/>
  <c r="E124" i="3" s="1"/>
  <c r="E125" i="3" s="1"/>
  <c r="D94" i="3"/>
  <c r="D95" i="3" s="1"/>
  <c r="D96" i="3" s="1"/>
  <c r="D97" i="3" s="1"/>
  <c r="D91" i="3"/>
  <c r="D92" i="3" s="1"/>
  <c r="D93" i="3" s="1"/>
  <c r="E94" i="3"/>
  <c r="E95" i="3" s="1"/>
  <c r="E96" i="3" s="1"/>
  <c r="E97" i="3" s="1"/>
  <c r="E91" i="3"/>
  <c r="E92" i="3" s="1"/>
  <c r="E93" i="3" s="1"/>
  <c r="D62" i="3"/>
  <c r="D63" i="3" s="1"/>
  <c r="D64" i="3" s="1"/>
  <c r="D65" i="3" s="1"/>
  <c r="D59" i="3"/>
  <c r="D60" i="3" s="1"/>
  <c r="D61" i="3" s="1"/>
</calcChain>
</file>

<file path=xl/sharedStrings.xml><?xml version="1.0" encoding="utf-8"?>
<sst xmlns="http://schemas.openxmlformats.org/spreadsheetml/2006/main" count="200" uniqueCount="46">
  <si>
    <t>Cube 1</t>
  </si>
  <si>
    <t>Grosch</t>
  </si>
  <si>
    <t>T-4482</t>
  </si>
  <si>
    <t>Cube 2</t>
  </si>
  <si>
    <t>T-4488</t>
  </si>
  <si>
    <t>Cube 3</t>
  </si>
  <si>
    <t>T-4484</t>
  </si>
  <si>
    <t>Cube 4</t>
  </si>
  <si>
    <t>T-4486</t>
  </si>
  <si>
    <t>Cube 5</t>
  </si>
  <si>
    <t>T-4490</t>
  </si>
  <si>
    <t>Cube 6</t>
  </si>
  <si>
    <t>T-4492</t>
  </si>
  <si>
    <t>T-4494</t>
  </si>
  <si>
    <t>Film</t>
  </si>
  <si>
    <t>Tire</t>
  </si>
  <si>
    <t>Load
[N]</t>
  </si>
  <si>
    <t>Temp
[°C]</t>
  </si>
  <si>
    <t>rel Hum
[%]</t>
  </si>
  <si>
    <t>p
[bar]</t>
  </si>
  <si>
    <t>Camber angle
[°]</t>
  </si>
  <si>
    <t>Film-Number</t>
  </si>
  <si>
    <t>Neuer Namen (Cropped Image)</t>
  </si>
  <si>
    <t>LLLLW</t>
  </si>
  <si>
    <t>LLLW</t>
  </si>
  <si>
    <t>LLW</t>
  </si>
  <si>
    <t>LW</t>
  </si>
  <si>
    <t>MOSCITO - Kontaktdruckmessungen</t>
  </si>
  <si>
    <t>Fahrbahn</t>
  </si>
  <si>
    <t>PosCrop (x)</t>
  </si>
  <si>
    <t>PosCrop (y)</t>
  </si>
  <si>
    <t>Width</t>
  </si>
  <si>
    <t>Height</t>
  </si>
  <si>
    <t>Bohrkern 7</t>
  </si>
  <si>
    <t>Kennzeichnung</t>
  </si>
  <si>
    <t>Abdruck Nr</t>
  </si>
  <si>
    <t>Sommer</t>
  </si>
  <si>
    <t>Asphalt</t>
  </si>
  <si>
    <t>1.jpg</t>
  </si>
  <si>
    <t>2.jpg</t>
  </si>
  <si>
    <t>3.jpg</t>
  </si>
  <si>
    <t>4.jpg</t>
  </si>
  <si>
    <t>Cropped_1.jpg</t>
  </si>
  <si>
    <t>Cropped_2.jpg</t>
  </si>
  <si>
    <t>Cropped_3.jpg</t>
  </si>
  <si>
    <t>Cropped_4.jpg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</si>
</sst>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vertical="center"/>
    </xf>
    <xf numFmtId="0" fontId="0" fillId="2" borderId="1" xfId="0" applyFont="1" applyFill="1" applyBorder="1"/>
    <xf numFmtId="0" fontId="0" fillId="3" borderId="1" xfId="0" applyFont="1" applyFill="1" applyBorder="1"/>
    <xf numFmtId="0" fontId="0" fillId="4" borderId="1" xfId="0" applyFont="1" applyFill="1" applyBorder="1"/>
    <xf numFmtId="0" fontId="0" fillId="5" borderId="1" xfId="0" applyFont="1" applyFill="1" applyBorder="1"/>
    <xf numFmtId="0" fontId="0" fillId="6" borderId="1" xfId="0" applyFont="1" applyFill="1" applyBorder="1"/>
    <xf numFmtId="0" fontId="0" fillId="7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wrapText="1"/>
    </xf>
    <xf numFmtId="0" fontId="2" fillId="0" borderId="5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Border="1" applyAlignment="1"/>
    <xf numFmtId="0" fontId="0" fillId="8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/>
    <xf numFmtId="0" fontId="0" fillId="8" borderId="12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3" xfId="0" applyBorder="1" applyAlignment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3" fillId="0" borderId="8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 vertical="center" wrapText="1"/>
    </xf>
    <xf numFmtId="0" fontId="0" fillId="9" borderId="1" xfId="0" applyFont="1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16" fontId="0" fillId="0" borderId="7" xfId="0" quotePrefix="1" applyNumberFormat="1" applyFill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quotePrefix="1" applyBorder="1" applyAlignment="1">
      <alignment horizontal="center" vertical="center"/>
    </xf>
    <xf numFmtId="14" fontId="0" fillId="0" borderId="11" xfId="0" applyNumberFormat="1" applyFill="1" applyBorder="1" applyAlignment="1">
      <alignment horizontal="center"/>
    </xf>
    <xf numFmtId="0" fontId="0" fillId="0" borderId="2" xfId="0" quotePrefix="1" applyBorder="1" applyAlignment="1">
      <alignment horizontal="center" vertical="center"/>
    </xf>
    <xf numFmtId="0" fontId="0" fillId="0" borderId="13" xfId="0" quotePrefix="1" applyBorder="1" applyAlignment="1">
      <alignment horizontal="center" vertical="center"/>
    </xf>
    <xf numFmtId="0" fontId="0" fillId="10" borderId="8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10" borderId="9" xfId="0" applyFill="1" applyBorder="1" applyAlignment="1">
      <alignment horizontal="center" vertical="center"/>
    </xf>
    <xf numFmtId="0" fontId="0" fillId="8" borderId="1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 wrapText="1"/>
    </xf>
    <xf numFmtId="0" fontId="1" fillId="2" borderId="16" xfId="0" applyFont="1" applyFill="1" applyBorder="1" applyAlignment="1">
      <alignment horizontal="center" wrapText="1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389283</xdr:colOff>
      <xdr:row>2</xdr:row>
      <xdr:rowOff>106846</xdr:rowOff>
    </xdr:from>
    <xdr:to>
      <xdr:col>22</xdr:col>
      <xdr:colOff>475008</xdr:colOff>
      <xdr:row>5</xdr:row>
      <xdr:rowOff>4555</xdr:rowOff>
    </xdr:to>
    <xdr:sp macro="[0]!Makro1" textlink="">
      <xdr:nvSpPr>
        <xdr:cNvPr id="2" name="Rechteck 1"/>
        <xdr:cNvSpPr/>
      </xdr:nvSpPr>
      <xdr:spPr>
        <a:xfrm>
          <a:off x="12647544" y="520976"/>
          <a:ext cx="1311551" cy="552036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800" b="1">
              <a:ln>
                <a:noFill/>
              </a:ln>
              <a:solidFill>
                <a:sysClr val="windowText" lastClr="000000"/>
              </a:solidFill>
            </a:rPr>
            <a:t>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P6"/>
  <sheetViews>
    <sheetView tabSelected="1" zoomScale="70" zoomScaleNormal="70" workbookViewId="0">
      <selection sqref="A1:P6"/>
    </sheetView>
  </sheetViews>
  <sheetFormatPr baseColWidth="10" defaultColWidth="9.140625" defaultRowHeight="17.100000000000001" customHeight="1" x14ac:dyDescent="0.25"/>
  <cols>
    <col min="1" max="1" width="15.7109375" style="28" customWidth="1"/>
    <col min="2" max="2" width="24.140625" style="28" customWidth="1"/>
    <col min="3" max="9" width="11.42578125" style="28"/>
    <col min="10" max="10" width="12.5703125" style="29" customWidth="1"/>
    <col min="11" max="11" width="7" style="29" customWidth="1"/>
    <col min="12" max="12" width="24.28515625" style="30" customWidth="1"/>
  </cols>
  <sheetData>
    <row r="1" spans="1:16" ht="21.75" customHeight="1" x14ac:dyDescent="0.35">
      <c r="A1" s="50" t="s">
        <v>27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</row>
    <row r="2" spans="1:16" ht="39.75" customHeight="1" thickBot="1" x14ac:dyDescent="0.35">
      <c r="A2" s="14" t="s">
        <v>28</v>
      </c>
      <c r="B2" s="14" t="s">
        <v>14</v>
      </c>
      <c r="C2" s="14" t="s">
        <v>15</v>
      </c>
      <c r="D2" s="15" t="s">
        <v>16</v>
      </c>
      <c r="E2" s="15" t="s">
        <v>17</v>
      </c>
      <c r="F2" s="15" t="s">
        <v>18</v>
      </c>
      <c r="G2" s="16" t="s">
        <v>19</v>
      </c>
      <c r="H2" s="56" t="s">
        <v>20</v>
      </c>
      <c r="I2" s="57"/>
      <c r="J2" s="58" t="s">
        <v>21</v>
      </c>
      <c r="K2" s="59"/>
      <c r="L2" s="17" t="s">
        <v>22</v>
      </c>
      <c r="M2" s="32" t="s">
        <v>29</v>
      </c>
      <c r="N2" s="32" t="s">
        <v>30</v>
      </c>
      <c r="O2" s="32" t="s">
        <v>31</v>
      </c>
      <c r="P2" s="32" t="s">
        <v>32</v>
      </c>
    </row>
    <row r="3" spans="1:16" s="1" customFormat="1" ht="18.75" customHeight="1" thickBot="1" x14ac:dyDescent="0.3">
      <c r="A3" s="37" t="s">
        <v>37</v>
      </c>
      <c r="B3" s="18" t="s">
        <v>23</v>
      </c>
      <c r="C3" s="49" t="s">
        <v>36</v>
      </c>
      <c r="D3" s="18">
        <v>3600</v>
      </c>
      <c r="E3" s="45">
        <v>23.7</v>
      </c>
      <c r="F3" s="45">
        <v>58</v>
      </c>
      <c r="G3" s="18">
        <v>2.5</v>
      </c>
      <c r="H3" s="60">
        <v>0</v>
      </c>
      <c r="I3" s="61"/>
      <c r="J3" s="48" t="s">
        <v>38</v>
      </c>
      <c r="K3" s="20"/>
      <c r="L3" s="41" t="s">
        <v>42</v>
      </c>
      <c r="M3" s="38">
        <v>356.21290322580649</v>
      </c>
      <c r="N3" s="38">
        <v>-1465.3741935483877</v>
      </c>
      <c r="O3" s="38">
        <v>2841.1354838709676</v>
      </c>
      <c r="P3" s="38">
        <v>3716.8322580645172</v>
      </c>
    </row>
    <row r="4" spans="1:16" s="1" customFormat="1" ht="17.100000000000001" customHeight="1" thickBot="1" x14ac:dyDescent="0.3">
      <c r="A4" s="42" t="s">
        <v>37</v>
      </c>
      <c r="B4" s="21" t="s">
        <v>24</v>
      </c>
      <c r="C4" s="21" t="s">
        <v>36</v>
      </c>
      <c r="D4" s="21">
        <v>3600</v>
      </c>
      <c r="E4" s="46">
        <v>24.2</v>
      </c>
      <c r="F4" s="46">
        <v>53</v>
      </c>
      <c r="G4" s="21">
        <v>2.5</v>
      </c>
      <c r="H4" s="52">
        <v>0</v>
      </c>
      <c r="I4" s="53"/>
      <c r="J4" s="48" t="s">
        <v>39</v>
      </c>
      <c r="K4" s="24"/>
      <c r="L4" s="43" t="s">
        <v>43</v>
      </c>
      <c r="M4" s="39">
        <v>356.21290322580649</v>
      </c>
      <c r="N4" s="39">
        <v>-1465.3741935483877</v>
      </c>
      <c r="O4" s="39">
        <v>2841.1354838709676</v>
      </c>
      <c r="P4" s="39">
        <v>3716.8322580645172</v>
      </c>
    </row>
    <row r="5" spans="1:16" s="1" customFormat="1" ht="17.100000000000001" customHeight="1" thickBot="1" x14ac:dyDescent="0.3">
      <c r="A5" s="42" t="s">
        <v>37</v>
      </c>
      <c r="B5" s="21" t="s">
        <v>25</v>
      </c>
      <c r="C5" s="21" t="s">
        <v>36</v>
      </c>
      <c r="D5" s="21">
        <v>3600</v>
      </c>
      <c r="E5" s="46">
        <v>24.1</v>
      </c>
      <c r="F5" s="46">
        <v>52</v>
      </c>
      <c r="G5" s="21">
        <v>2.5</v>
      </c>
      <c r="H5" s="52">
        <v>0</v>
      </c>
      <c r="I5" s="53"/>
      <c r="J5" s="48" t="s">
        <v>40</v>
      </c>
      <c r="K5" s="24"/>
      <c r="L5" s="43" t="s">
        <v>44</v>
      </c>
      <c r="M5" s="39">
        <v>356.21290322580649</v>
      </c>
      <c r="N5" s="39">
        <v>-1465.3741935483877</v>
      </c>
      <c r="O5" s="39">
        <v>2841.1354838709676</v>
      </c>
      <c r="P5" s="39">
        <v>3716.8322580645172</v>
      </c>
    </row>
    <row r="6" spans="1:16" s="1" customFormat="1" ht="17.100000000000001" customHeight="1" thickBot="1" x14ac:dyDescent="0.3">
      <c r="A6" s="42" t="s">
        <v>37</v>
      </c>
      <c r="B6" s="25" t="s">
        <v>26</v>
      </c>
      <c r="C6" s="21" t="s">
        <v>36</v>
      </c>
      <c r="D6" s="21">
        <v>3600</v>
      </c>
      <c r="E6" s="47">
        <v>24.4</v>
      </c>
      <c r="F6" s="47">
        <v>48.3</v>
      </c>
      <c r="G6" s="25">
        <v>2.5</v>
      </c>
      <c r="H6" s="54">
        <v>0</v>
      </c>
      <c r="I6" s="55"/>
      <c r="J6" s="48" t="s">
        <v>41</v>
      </c>
      <c r="K6" s="27"/>
      <c r="L6" s="44" t="s">
        <v>45</v>
      </c>
      <c r="M6" s="40">
        <v>356.21290322580649</v>
      </c>
      <c r="N6" s="40">
        <v>-1465.3741935483877</v>
      </c>
      <c r="O6" s="40">
        <v>2841.1354838709676</v>
      </c>
      <c r="P6" s="40">
        <v>3716.8322580645172</v>
      </c>
    </row>
  </sheetData>
  <mergeCells count="7">
    <mergeCell ref="A1:P1"/>
    <mergeCell ref="H4:I4"/>
    <mergeCell ref="H5:I5"/>
    <mergeCell ref="H6:I6"/>
    <mergeCell ref="H2:I2"/>
    <mergeCell ref="J2:K2"/>
    <mergeCell ref="H3:I3"/>
  </mergeCells>
  <printOptions gridLines="1"/>
  <pageMargins left="0.23622047244094491" right="0.23622047244094491" top="0.74803149606299213" bottom="0.74803149606299213" header="0.31496062992125984" footer="0.31496062992125984"/>
  <pageSetup paperSize="9" scale="8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F7"/>
  <sheetViews>
    <sheetView workbookViewId="0"/>
  </sheetViews>
  <sheetFormatPr baseColWidth="10" defaultRowHeight="15" x14ac:dyDescent="0.25"/>
  <sheetData>
    <row r="1" spans="1:6" x14ac:dyDescent="0.25">
      <c r="A1" s="8" t="s">
        <v>0</v>
      </c>
      <c r="B1" s="2" t="s">
        <v>1</v>
      </c>
      <c r="C1" s="2">
        <v>6</v>
      </c>
      <c r="D1" s="2" t="s">
        <v>2</v>
      </c>
      <c r="E1" s="2">
        <v>800</v>
      </c>
      <c r="F1">
        <f>58.3</f>
        <v>58.3</v>
      </c>
    </row>
    <row r="2" spans="1:6" x14ac:dyDescent="0.25">
      <c r="A2" s="9" t="s">
        <v>3</v>
      </c>
      <c r="B2" s="3" t="s">
        <v>1</v>
      </c>
      <c r="C2" s="3">
        <v>6</v>
      </c>
      <c r="D2" s="3" t="s">
        <v>4</v>
      </c>
      <c r="E2" s="3">
        <v>1100</v>
      </c>
      <c r="F2">
        <f>67.1</f>
        <v>67.099999999999994</v>
      </c>
    </row>
    <row r="3" spans="1:6" x14ac:dyDescent="0.25">
      <c r="A3" s="10" t="s">
        <v>5</v>
      </c>
      <c r="B3" s="4" t="s">
        <v>1</v>
      </c>
      <c r="C3" s="4">
        <v>6</v>
      </c>
      <c r="D3" s="4" t="s">
        <v>6</v>
      </c>
      <c r="E3" s="4">
        <v>900</v>
      </c>
      <c r="F3">
        <f>70</f>
        <v>70</v>
      </c>
    </row>
    <row r="4" spans="1:6" x14ac:dyDescent="0.25">
      <c r="A4" s="11" t="s">
        <v>7</v>
      </c>
      <c r="B4" s="5" t="s">
        <v>1</v>
      </c>
      <c r="C4" s="5">
        <v>6</v>
      </c>
      <c r="D4" s="5" t="s">
        <v>8</v>
      </c>
      <c r="E4" s="5">
        <v>1000</v>
      </c>
      <c r="F4">
        <f>67</f>
        <v>67</v>
      </c>
    </row>
    <row r="5" spans="1:6" x14ac:dyDescent="0.25">
      <c r="A5" s="12" t="s">
        <v>9</v>
      </c>
      <c r="B5" s="6" t="s">
        <v>1</v>
      </c>
      <c r="C5" s="6">
        <v>6</v>
      </c>
      <c r="D5" s="6" t="s">
        <v>10</v>
      </c>
      <c r="E5" s="6">
        <v>1200</v>
      </c>
      <c r="F5">
        <f>64.5</f>
        <v>64.5</v>
      </c>
    </row>
    <row r="6" spans="1:6" x14ac:dyDescent="0.25">
      <c r="A6" s="13" t="s">
        <v>11</v>
      </c>
      <c r="B6" s="7" t="s">
        <v>1</v>
      </c>
      <c r="C6" s="7">
        <v>6</v>
      </c>
      <c r="D6" s="7" t="s">
        <v>12</v>
      </c>
      <c r="E6" s="7">
        <v>1300</v>
      </c>
      <c r="F6">
        <f>73.8</f>
        <v>73.8</v>
      </c>
    </row>
    <row r="7" spans="1:6" x14ac:dyDescent="0.25">
      <c r="A7" s="8" t="s">
        <v>0</v>
      </c>
      <c r="B7" s="2" t="s">
        <v>1</v>
      </c>
      <c r="C7" s="2">
        <v>6</v>
      </c>
      <c r="D7" s="2" t="s">
        <v>13</v>
      </c>
      <c r="E7" s="2">
        <v>1400</v>
      </c>
      <c r="F7">
        <f>58.3</f>
        <v>58.3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9"/>
  <sheetViews>
    <sheetView topLeftCell="A85" zoomScale="70" zoomScaleNormal="70" workbookViewId="0">
      <selection activeCell="N55" sqref="N55"/>
    </sheetView>
  </sheetViews>
  <sheetFormatPr baseColWidth="10" defaultRowHeight="15" x14ac:dyDescent="0.25"/>
  <cols>
    <col min="1" max="1" width="13.28515625" customWidth="1"/>
    <col min="8" max="8" width="16.7109375" customWidth="1"/>
  </cols>
  <sheetData>
    <row r="1" spans="1:8" ht="35.25" thickBot="1" x14ac:dyDescent="0.3">
      <c r="A1" s="14" t="s">
        <v>35</v>
      </c>
      <c r="B1" s="14" t="s">
        <v>28</v>
      </c>
      <c r="C1" s="14" t="s">
        <v>14</v>
      </c>
      <c r="D1" s="14" t="s">
        <v>15</v>
      </c>
      <c r="E1" s="15" t="s">
        <v>16</v>
      </c>
      <c r="F1" s="15" t="s">
        <v>17</v>
      </c>
      <c r="G1" s="15" t="s">
        <v>18</v>
      </c>
      <c r="H1" s="15" t="s">
        <v>34</v>
      </c>
    </row>
    <row r="2" spans="1:8" x14ac:dyDescent="0.25">
      <c r="A2" s="62">
        <v>1</v>
      </c>
      <c r="B2" s="34" t="s">
        <v>33</v>
      </c>
      <c r="C2" s="18" t="s">
        <v>23</v>
      </c>
      <c r="D2" s="33" t="s">
        <v>0</v>
      </c>
      <c r="E2" s="18">
        <v>32</v>
      </c>
      <c r="F2" s="19"/>
      <c r="G2" s="19"/>
      <c r="H2" s="19"/>
    </row>
    <row r="3" spans="1:8" x14ac:dyDescent="0.25">
      <c r="A3" s="63"/>
      <c r="B3" s="35" t="str">
        <f t="shared" ref="B3:B5" si="0">B2</f>
        <v>Bohrkern 7</v>
      </c>
      <c r="C3" s="21" t="s">
        <v>24</v>
      </c>
      <c r="D3" s="22" t="str">
        <f>D2</f>
        <v>Cube 1</v>
      </c>
      <c r="E3" s="23">
        <f>E2</f>
        <v>32</v>
      </c>
      <c r="F3" s="22"/>
      <c r="G3" s="22"/>
      <c r="H3" s="22"/>
    </row>
    <row r="4" spans="1:8" x14ac:dyDescent="0.25">
      <c r="A4" s="63"/>
      <c r="B4" s="35" t="str">
        <f t="shared" si="0"/>
        <v>Bohrkern 7</v>
      </c>
      <c r="C4" s="21" t="s">
        <v>25</v>
      </c>
      <c r="D4" s="22" t="str">
        <f t="shared" ref="D4:E5" si="1">D3</f>
        <v>Cube 1</v>
      </c>
      <c r="E4" s="23">
        <f t="shared" si="1"/>
        <v>32</v>
      </c>
      <c r="F4" s="22"/>
      <c r="G4" s="22"/>
      <c r="H4" s="22"/>
    </row>
    <row r="5" spans="1:8" ht="15.75" thickBot="1" x14ac:dyDescent="0.3">
      <c r="A5" s="64"/>
      <c r="B5" s="36" t="str">
        <f t="shared" si="0"/>
        <v>Bohrkern 7</v>
      </c>
      <c r="C5" s="25" t="s">
        <v>26</v>
      </c>
      <c r="D5" s="22" t="str">
        <f t="shared" si="1"/>
        <v>Cube 1</v>
      </c>
      <c r="E5" s="23">
        <f t="shared" si="1"/>
        <v>32</v>
      </c>
      <c r="F5" s="26"/>
      <c r="G5" s="26"/>
      <c r="H5" s="26"/>
    </row>
    <row r="6" spans="1:8" ht="15.75" thickBot="1" x14ac:dyDescent="0.3">
      <c r="A6" s="62">
        <v>2</v>
      </c>
      <c r="B6" s="34" t="str">
        <f>B2</f>
        <v>Bohrkern 7</v>
      </c>
      <c r="C6" s="18" t="s">
        <v>23</v>
      </c>
      <c r="D6" s="31" t="str">
        <f>D2</f>
        <v>Cube 1</v>
      </c>
      <c r="E6" s="18">
        <f>E2</f>
        <v>32</v>
      </c>
      <c r="F6" s="19"/>
      <c r="G6" s="19"/>
      <c r="H6" s="19"/>
    </row>
    <row r="7" spans="1:8" ht="15.75" thickBot="1" x14ac:dyDescent="0.3">
      <c r="A7" s="63"/>
      <c r="B7" s="34" t="str">
        <f t="shared" ref="B7:B33" si="2">B3</f>
        <v>Bohrkern 7</v>
      </c>
      <c r="C7" s="21" t="s">
        <v>24</v>
      </c>
      <c r="D7" s="22" t="str">
        <f>D6</f>
        <v>Cube 1</v>
      </c>
      <c r="E7" s="23">
        <f>E6</f>
        <v>32</v>
      </c>
      <c r="F7" s="22"/>
      <c r="G7" s="22"/>
      <c r="H7" s="22"/>
    </row>
    <row r="8" spans="1:8" ht="15.75" thickBot="1" x14ac:dyDescent="0.3">
      <c r="A8" s="63"/>
      <c r="B8" s="34" t="str">
        <f t="shared" si="2"/>
        <v>Bohrkern 7</v>
      </c>
      <c r="C8" s="21" t="s">
        <v>25</v>
      </c>
      <c r="D8" s="22" t="str">
        <f t="shared" ref="D8:E9" si="3">D7</f>
        <v>Cube 1</v>
      </c>
      <c r="E8" s="23">
        <f t="shared" si="3"/>
        <v>32</v>
      </c>
      <c r="F8" s="22"/>
      <c r="G8" s="22"/>
      <c r="H8" s="22"/>
    </row>
    <row r="9" spans="1:8" ht="15.75" thickBot="1" x14ac:dyDescent="0.3">
      <c r="A9" s="64"/>
      <c r="B9" s="34" t="str">
        <f t="shared" si="2"/>
        <v>Bohrkern 7</v>
      </c>
      <c r="C9" s="25" t="s">
        <v>26</v>
      </c>
      <c r="D9" s="22" t="str">
        <f t="shared" si="3"/>
        <v>Cube 1</v>
      </c>
      <c r="E9" s="23">
        <f t="shared" si="3"/>
        <v>32</v>
      </c>
      <c r="F9" s="26"/>
      <c r="G9" s="26"/>
      <c r="H9" s="26"/>
    </row>
    <row r="10" spans="1:8" ht="15.75" thickBot="1" x14ac:dyDescent="0.3">
      <c r="A10" s="62">
        <v>3</v>
      </c>
      <c r="B10" s="34" t="str">
        <f t="shared" si="2"/>
        <v>Bohrkern 7</v>
      </c>
      <c r="C10" s="18" t="s">
        <v>23</v>
      </c>
      <c r="D10" s="31" t="str">
        <f>D6</f>
        <v>Cube 1</v>
      </c>
      <c r="E10" s="18">
        <f>E6</f>
        <v>32</v>
      </c>
      <c r="F10" s="19"/>
      <c r="G10" s="19"/>
      <c r="H10" s="19"/>
    </row>
    <row r="11" spans="1:8" ht="15.75" thickBot="1" x14ac:dyDescent="0.3">
      <c r="A11" s="63"/>
      <c r="B11" s="34" t="str">
        <f t="shared" si="2"/>
        <v>Bohrkern 7</v>
      </c>
      <c r="C11" s="21" t="s">
        <v>24</v>
      </c>
      <c r="D11" s="22" t="str">
        <f>D10</f>
        <v>Cube 1</v>
      </c>
      <c r="E11" s="23">
        <f>E10</f>
        <v>32</v>
      </c>
      <c r="F11" s="22"/>
      <c r="G11" s="22"/>
      <c r="H11" s="22"/>
    </row>
    <row r="12" spans="1:8" ht="15.75" thickBot="1" x14ac:dyDescent="0.3">
      <c r="A12" s="63"/>
      <c r="B12" s="34" t="str">
        <f t="shared" si="2"/>
        <v>Bohrkern 7</v>
      </c>
      <c r="C12" s="21" t="s">
        <v>25</v>
      </c>
      <c r="D12" s="22" t="str">
        <f t="shared" ref="D12:E13" si="4">D11</f>
        <v>Cube 1</v>
      </c>
      <c r="E12" s="23">
        <f t="shared" si="4"/>
        <v>32</v>
      </c>
      <c r="F12" s="22"/>
      <c r="G12" s="22"/>
      <c r="H12" s="22"/>
    </row>
    <row r="13" spans="1:8" ht="15.75" thickBot="1" x14ac:dyDescent="0.3">
      <c r="A13" s="64"/>
      <c r="B13" s="34" t="str">
        <f t="shared" si="2"/>
        <v>Bohrkern 7</v>
      </c>
      <c r="C13" s="25" t="s">
        <v>26</v>
      </c>
      <c r="D13" s="22" t="str">
        <f t="shared" si="4"/>
        <v>Cube 1</v>
      </c>
      <c r="E13" s="23">
        <f t="shared" si="4"/>
        <v>32</v>
      </c>
      <c r="F13" s="26"/>
      <c r="G13" s="26"/>
      <c r="H13" s="26"/>
    </row>
    <row r="14" spans="1:8" ht="15.75" thickBot="1" x14ac:dyDescent="0.3">
      <c r="A14" s="62">
        <v>4</v>
      </c>
      <c r="B14" s="34" t="str">
        <f t="shared" si="2"/>
        <v>Bohrkern 7</v>
      </c>
      <c r="C14" s="18" t="s">
        <v>23</v>
      </c>
      <c r="D14" s="31" t="str">
        <f>D10</f>
        <v>Cube 1</v>
      </c>
      <c r="E14" s="18">
        <f>$E$2</f>
        <v>32</v>
      </c>
      <c r="F14" s="19"/>
      <c r="G14" s="19"/>
      <c r="H14" s="19"/>
    </row>
    <row r="15" spans="1:8" ht="15.75" thickBot="1" x14ac:dyDescent="0.3">
      <c r="A15" s="63"/>
      <c r="B15" s="34" t="str">
        <f t="shared" si="2"/>
        <v>Bohrkern 7</v>
      </c>
      <c r="C15" s="21" t="s">
        <v>24</v>
      </c>
      <c r="D15" s="22" t="str">
        <f>D14</f>
        <v>Cube 1</v>
      </c>
      <c r="E15" s="23">
        <f>E14</f>
        <v>32</v>
      </c>
      <c r="F15" s="22"/>
      <c r="G15" s="22"/>
      <c r="H15" s="22"/>
    </row>
    <row r="16" spans="1:8" ht="15.75" thickBot="1" x14ac:dyDescent="0.3">
      <c r="A16" s="63"/>
      <c r="B16" s="34" t="str">
        <f t="shared" si="2"/>
        <v>Bohrkern 7</v>
      </c>
      <c r="C16" s="21" t="s">
        <v>25</v>
      </c>
      <c r="D16" s="22" t="str">
        <f t="shared" ref="D16:E17" si="5">D15</f>
        <v>Cube 1</v>
      </c>
      <c r="E16" s="23">
        <f t="shared" si="5"/>
        <v>32</v>
      </c>
      <c r="F16" s="22"/>
      <c r="G16" s="22"/>
      <c r="H16" s="22"/>
    </row>
    <row r="17" spans="1:8" ht="15.75" thickBot="1" x14ac:dyDescent="0.3">
      <c r="A17" s="64"/>
      <c r="B17" s="34" t="str">
        <f t="shared" si="2"/>
        <v>Bohrkern 7</v>
      </c>
      <c r="C17" s="25" t="s">
        <v>26</v>
      </c>
      <c r="D17" s="22" t="str">
        <f t="shared" si="5"/>
        <v>Cube 1</v>
      </c>
      <c r="E17" s="23">
        <f t="shared" si="5"/>
        <v>32</v>
      </c>
      <c r="F17" s="26"/>
      <c r="G17" s="26"/>
      <c r="H17" s="26"/>
    </row>
    <row r="18" spans="1:8" ht="15.75" thickBot="1" x14ac:dyDescent="0.3">
      <c r="A18" s="62">
        <v>5</v>
      </c>
      <c r="B18" s="34" t="str">
        <f t="shared" si="2"/>
        <v>Bohrkern 7</v>
      </c>
      <c r="C18" s="18" t="s">
        <v>23</v>
      </c>
      <c r="D18" s="31" t="str">
        <f>D14</f>
        <v>Cube 1</v>
      </c>
      <c r="E18" s="18">
        <f>E14</f>
        <v>32</v>
      </c>
      <c r="F18" s="19"/>
      <c r="G18" s="19"/>
      <c r="H18" s="19"/>
    </row>
    <row r="19" spans="1:8" ht="15.75" thickBot="1" x14ac:dyDescent="0.3">
      <c r="A19" s="63"/>
      <c r="B19" s="34" t="str">
        <f t="shared" si="2"/>
        <v>Bohrkern 7</v>
      </c>
      <c r="C19" s="21" t="s">
        <v>24</v>
      </c>
      <c r="D19" s="22" t="str">
        <f>D18</f>
        <v>Cube 1</v>
      </c>
      <c r="E19" s="23">
        <f>E18</f>
        <v>32</v>
      </c>
      <c r="F19" s="22"/>
      <c r="G19" s="22"/>
      <c r="H19" s="22"/>
    </row>
    <row r="20" spans="1:8" ht="15.75" thickBot="1" x14ac:dyDescent="0.3">
      <c r="A20" s="63"/>
      <c r="B20" s="34" t="str">
        <f t="shared" si="2"/>
        <v>Bohrkern 7</v>
      </c>
      <c r="C20" s="21" t="s">
        <v>25</v>
      </c>
      <c r="D20" s="22" t="str">
        <f t="shared" ref="D20:E21" si="6">D19</f>
        <v>Cube 1</v>
      </c>
      <c r="E20" s="23">
        <f t="shared" si="6"/>
        <v>32</v>
      </c>
      <c r="F20" s="22"/>
      <c r="G20" s="22"/>
      <c r="H20" s="22"/>
    </row>
    <row r="21" spans="1:8" ht="15.75" thickBot="1" x14ac:dyDescent="0.3">
      <c r="A21" s="64"/>
      <c r="B21" s="34" t="str">
        <f t="shared" si="2"/>
        <v>Bohrkern 7</v>
      </c>
      <c r="C21" s="25" t="s">
        <v>26</v>
      </c>
      <c r="D21" s="22" t="str">
        <f t="shared" si="6"/>
        <v>Cube 1</v>
      </c>
      <c r="E21" s="23">
        <f t="shared" si="6"/>
        <v>32</v>
      </c>
      <c r="F21" s="26"/>
      <c r="G21" s="26"/>
      <c r="H21" s="26"/>
    </row>
    <row r="22" spans="1:8" ht="15.75" thickBot="1" x14ac:dyDescent="0.3">
      <c r="A22" s="62">
        <v>6</v>
      </c>
      <c r="B22" s="34" t="str">
        <f t="shared" si="2"/>
        <v>Bohrkern 7</v>
      </c>
      <c r="C22" s="18" t="s">
        <v>23</v>
      </c>
      <c r="D22" s="31" t="str">
        <f>D18</f>
        <v>Cube 1</v>
      </c>
      <c r="E22" s="18">
        <f>E18</f>
        <v>32</v>
      </c>
      <c r="F22" s="19"/>
      <c r="G22" s="19"/>
      <c r="H22" s="19"/>
    </row>
    <row r="23" spans="1:8" ht="15.75" thickBot="1" x14ac:dyDescent="0.3">
      <c r="A23" s="63"/>
      <c r="B23" s="34" t="str">
        <f t="shared" si="2"/>
        <v>Bohrkern 7</v>
      </c>
      <c r="C23" s="21" t="s">
        <v>24</v>
      </c>
      <c r="D23" s="22" t="str">
        <f>D22</f>
        <v>Cube 1</v>
      </c>
      <c r="E23" s="23">
        <f>E22</f>
        <v>32</v>
      </c>
      <c r="F23" s="22"/>
      <c r="G23" s="22"/>
      <c r="H23" s="22"/>
    </row>
    <row r="24" spans="1:8" ht="15.75" thickBot="1" x14ac:dyDescent="0.3">
      <c r="A24" s="63"/>
      <c r="B24" s="34" t="str">
        <f t="shared" si="2"/>
        <v>Bohrkern 7</v>
      </c>
      <c r="C24" s="21" t="s">
        <v>25</v>
      </c>
      <c r="D24" s="22" t="str">
        <f t="shared" ref="D24:E25" si="7">D23</f>
        <v>Cube 1</v>
      </c>
      <c r="E24" s="23">
        <f t="shared" si="7"/>
        <v>32</v>
      </c>
      <c r="F24" s="22"/>
      <c r="G24" s="22"/>
      <c r="H24" s="22"/>
    </row>
    <row r="25" spans="1:8" ht="15.75" thickBot="1" x14ac:dyDescent="0.3">
      <c r="A25" s="64"/>
      <c r="B25" s="34" t="str">
        <f t="shared" si="2"/>
        <v>Bohrkern 7</v>
      </c>
      <c r="C25" s="25" t="s">
        <v>26</v>
      </c>
      <c r="D25" s="22" t="str">
        <f t="shared" si="7"/>
        <v>Cube 1</v>
      </c>
      <c r="E25" s="23">
        <f t="shared" si="7"/>
        <v>32</v>
      </c>
      <c r="F25" s="26"/>
      <c r="G25" s="26"/>
      <c r="H25" s="26"/>
    </row>
    <row r="26" spans="1:8" ht="15.75" thickBot="1" x14ac:dyDescent="0.3">
      <c r="A26" s="62">
        <v>7</v>
      </c>
      <c r="B26" s="34" t="str">
        <f t="shared" si="2"/>
        <v>Bohrkern 7</v>
      </c>
      <c r="C26" s="18" t="s">
        <v>23</v>
      </c>
      <c r="D26" s="31" t="str">
        <f>D22</f>
        <v>Cube 1</v>
      </c>
      <c r="E26" s="18">
        <f>E22</f>
        <v>32</v>
      </c>
      <c r="F26" s="19"/>
      <c r="G26" s="19"/>
      <c r="H26" s="19"/>
    </row>
    <row r="27" spans="1:8" ht="15.75" thickBot="1" x14ac:dyDescent="0.3">
      <c r="A27" s="63"/>
      <c r="B27" s="34" t="str">
        <f t="shared" si="2"/>
        <v>Bohrkern 7</v>
      </c>
      <c r="C27" s="21" t="s">
        <v>24</v>
      </c>
      <c r="D27" s="22" t="str">
        <f>D26</f>
        <v>Cube 1</v>
      </c>
      <c r="E27" s="23">
        <f>E26</f>
        <v>32</v>
      </c>
      <c r="F27" s="22"/>
      <c r="G27" s="22"/>
      <c r="H27" s="22"/>
    </row>
    <row r="28" spans="1:8" ht="15.75" thickBot="1" x14ac:dyDescent="0.3">
      <c r="A28" s="63"/>
      <c r="B28" s="34" t="str">
        <f t="shared" si="2"/>
        <v>Bohrkern 7</v>
      </c>
      <c r="C28" s="21" t="s">
        <v>25</v>
      </c>
      <c r="D28" s="22" t="str">
        <f t="shared" ref="D28:E29" si="8">D27</f>
        <v>Cube 1</v>
      </c>
      <c r="E28" s="23">
        <f t="shared" si="8"/>
        <v>32</v>
      </c>
      <c r="F28" s="22"/>
      <c r="G28" s="22"/>
      <c r="H28" s="22"/>
    </row>
    <row r="29" spans="1:8" ht="15.75" thickBot="1" x14ac:dyDescent="0.3">
      <c r="A29" s="64"/>
      <c r="B29" s="34" t="str">
        <f t="shared" si="2"/>
        <v>Bohrkern 7</v>
      </c>
      <c r="C29" s="25" t="s">
        <v>26</v>
      </c>
      <c r="D29" s="22" t="str">
        <f t="shared" si="8"/>
        <v>Cube 1</v>
      </c>
      <c r="E29" s="23">
        <f t="shared" si="8"/>
        <v>32</v>
      </c>
      <c r="F29" s="26"/>
      <c r="G29" s="26"/>
      <c r="H29" s="26"/>
    </row>
    <row r="30" spans="1:8" ht="15.75" thickBot="1" x14ac:dyDescent="0.3">
      <c r="A30" s="62">
        <v>8</v>
      </c>
      <c r="B30" s="34" t="str">
        <f t="shared" si="2"/>
        <v>Bohrkern 7</v>
      </c>
      <c r="C30" s="18" t="s">
        <v>23</v>
      </c>
      <c r="D30" s="31" t="str">
        <f>D26</f>
        <v>Cube 1</v>
      </c>
      <c r="E30" s="18">
        <f>E26</f>
        <v>32</v>
      </c>
      <c r="F30" s="19"/>
      <c r="G30" s="19"/>
      <c r="H30" s="19"/>
    </row>
    <row r="31" spans="1:8" ht="15.75" thickBot="1" x14ac:dyDescent="0.3">
      <c r="A31" s="63"/>
      <c r="B31" s="34" t="str">
        <f t="shared" si="2"/>
        <v>Bohrkern 7</v>
      </c>
      <c r="C31" s="21" t="s">
        <v>24</v>
      </c>
      <c r="D31" s="22" t="str">
        <f>D30</f>
        <v>Cube 1</v>
      </c>
      <c r="E31" s="23">
        <f>E30</f>
        <v>32</v>
      </c>
      <c r="F31" s="22"/>
      <c r="G31" s="22"/>
      <c r="H31" s="22"/>
    </row>
    <row r="32" spans="1:8" ht="15.75" thickBot="1" x14ac:dyDescent="0.3">
      <c r="A32" s="63"/>
      <c r="B32" s="34" t="str">
        <f t="shared" si="2"/>
        <v>Bohrkern 7</v>
      </c>
      <c r="C32" s="21" t="s">
        <v>25</v>
      </c>
      <c r="D32" s="22" t="str">
        <f t="shared" ref="D32:E32" si="9">D31</f>
        <v>Cube 1</v>
      </c>
      <c r="E32" s="23">
        <f t="shared" si="9"/>
        <v>32</v>
      </c>
      <c r="F32" s="22"/>
      <c r="G32" s="22"/>
      <c r="H32" s="22"/>
    </row>
    <row r="33" spans="1:8" ht="15.75" thickBot="1" x14ac:dyDescent="0.3">
      <c r="A33" s="64"/>
      <c r="B33" s="34" t="str">
        <f t="shared" si="2"/>
        <v>Bohrkern 7</v>
      </c>
      <c r="C33" s="25" t="s">
        <v>26</v>
      </c>
      <c r="D33" s="22" t="str">
        <f t="shared" ref="D33:E33" si="10">D32</f>
        <v>Cube 1</v>
      </c>
      <c r="E33" s="23">
        <f t="shared" si="10"/>
        <v>32</v>
      </c>
      <c r="F33" s="26"/>
      <c r="G33" s="26"/>
      <c r="H33" s="26"/>
    </row>
    <row r="34" spans="1:8" x14ac:dyDescent="0.25">
      <c r="A34" s="62">
        <v>1</v>
      </c>
      <c r="B34" s="34" t="s">
        <v>33</v>
      </c>
      <c r="C34" s="18" t="s">
        <v>23</v>
      </c>
      <c r="D34" s="33" t="s">
        <v>0</v>
      </c>
      <c r="E34" s="18">
        <v>53</v>
      </c>
      <c r="F34" s="19"/>
      <c r="G34" s="19"/>
      <c r="H34" s="19"/>
    </row>
    <row r="35" spans="1:8" x14ac:dyDescent="0.25">
      <c r="A35" s="63"/>
      <c r="B35" s="35" t="str">
        <f t="shared" ref="B35:B37" si="11">B34</f>
        <v>Bohrkern 7</v>
      </c>
      <c r="C35" s="21" t="s">
        <v>24</v>
      </c>
      <c r="D35" s="22" t="str">
        <f>D34</f>
        <v>Cube 1</v>
      </c>
      <c r="E35" s="23">
        <f>E34</f>
        <v>53</v>
      </c>
      <c r="F35" s="22"/>
      <c r="G35" s="22"/>
      <c r="H35" s="22"/>
    </row>
    <row r="36" spans="1:8" x14ac:dyDescent="0.25">
      <c r="A36" s="63"/>
      <c r="B36" s="35" t="str">
        <f t="shared" si="11"/>
        <v>Bohrkern 7</v>
      </c>
      <c r="C36" s="21" t="s">
        <v>25</v>
      </c>
      <c r="D36" s="22" t="str">
        <f t="shared" ref="D36:E36" si="12">D35</f>
        <v>Cube 1</v>
      </c>
      <c r="E36" s="23">
        <f t="shared" si="12"/>
        <v>53</v>
      </c>
      <c r="F36" s="22"/>
      <c r="G36" s="22"/>
      <c r="H36" s="22"/>
    </row>
    <row r="37" spans="1:8" ht="15.75" thickBot="1" x14ac:dyDescent="0.3">
      <c r="A37" s="64"/>
      <c r="B37" s="36" t="str">
        <f t="shared" si="11"/>
        <v>Bohrkern 7</v>
      </c>
      <c r="C37" s="25" t="s">
        <v>26</v>
      </c>
      <c r="D37" s="22" t="str">
        <f t="shared" ref="D37:E37" si="13">D36</f>
        <v>Cube 1</v>
      </c>
      <c r="E37" s="23">
        <f t="shared" si="13"/>
        <v>53</v>
      </c>
      <c r="F37" s="26"/>
      <c r="G37" s="26"/>
      <c r="H37" s="26"/>
    </row>
    <row r="38" spans="1:8" ht="15.75" thickBot="1" x14ac:dyDescent="0.3">
      <c r="A38" s="62">
        <v>2</v>
      </c>
      <c r="B38" s="34" t="str">
        <f>B34</f>
        <v>Bohrkern 7</v>
      </c>
      <c r="C38" s="18" t="s">
        <v>23</v>
      </c>
      <c r="D38" s="31" t="str">
        <f>D34</f>
        <v>Cube 1</v>
      </c>
      <c r="E38" s="18">
        <f>E34</f>
        <v>53</v>
      </c>
      <c r="F38" s="19"/>
      <c r="G38" s="19"/>
      <c r="H38" s="19"/>
    </row>
    <row r="39" spans="1:8" ht="15.75" thickBot="1" x14ac:dyDescent="0.3">
      <c r="A39" s="63"/>
      <c r="B39" s="34" t="str">
        <f t="shared" ref="B39:B65" si="14">B35</f>
        <v>Bohrkern 7</v>
      </c>
      <c r="C39" s="21" t="s">
        <v>24</v>
      </c>
      <c r="D39" s="22" t="str">
        <f>D38</f>
        <v>Cube 1</v>
      </c>
      <c r="E39" s="23">
        <f>E38</f>
        <v>53</v>
      </c>
      <c r="F39" s="22"/>
      <c r="G39" s="22"/>
      <c r="H39" s="22"/>
    </row>
    <row r="40" spans="1:8" ht="15.75" thickBot="1" x14ac:dyDescent="0.3">
      <c r="A40" s="63"/>
      <c r="B40" s="34" t="str">
        <f t="shared" si="14"/>
        <v>Bohrkern 7</v>
      </c>
      <c r="C40" s="21" t="s">
        <v>25</v>
      </c>
      <c r="D40" s="22" t="str">
        <f t="shared" ref="D40:E40" si="15">D39</f>
        <v>Cube 1</v>
      </c>
      <c r="E40" s="23">
        <f t="shared" si="15"/>
        <v>53</v>
      </c>
      <c r="F40" s="22"/>
      <c r="G40" s="22"/>
      <c r="H40" s="22"/>
    </row>
    <row r="41" spans="1:8" ht="15.75" thickBot="1" x14ac:dyDescent="0.3">
      <c r="A41" s="64"/>
      <c r="B41" s="34" t="str">
        <f t="shared" si="14"/>
        <v>Bohrkern 7</v>
      </c>
      <c r="C41" s="25" t="s">
        <v>26</v>
      </c>
      <c r="D41" s="22" t="str">
        <f t="shared" ref="D41:E41" si="16">D40</f>
        <v>Cube 1</v>
      </c>
      <c r="E41" s="23">
        <f t="shared" si="16"/>
        <v>53</v>
      </c>
      <c r="F41" s="26"/>
      <c r="G41" s="26"/>
      <c r="H41" s="26"/>
    </row>
    <row r="42" spans="1:8" ht="15.75" thickBot="1" x14ac:dyDescent="0.3">
      <c r="A42" s="62">
        <v>3</v>
      </c>
      <c r="B42" s="34" t="str">
        <f t="shared" si="14"/>
        <v>Bohrkern 7</v>
      </c>
      <c r="C42" s="18" t="s">
        <v>23</v>
      </c>
      <c r="D42" s="31" t="str">
        <f>D38</f>
        <v>Cube 1</v>
      </c>
      <c r="E42" s="18">
        <f>E38</f>
        <v>53</v>
      </c>
      <c r="F42" s="19"/>
      <c r="G42" s="19"/>
      <c r="H42" s="19"/>
    </row>
    <row r="43" spans="1:8" ht="15.75" thickBot="1" x14ac:dyDescent="0.3">
      <c r="A43" s="63"/>
      <c r="B43" s="34" t="str">
        <f t="shared" si="14"/>
        <v>Bohrkern 7</v>
      </c>
      <c r="C43" s="21" t="s">
        <v>24</v>
      </c>
      <c r="D43" s="22" t="str">
        <f>D42</f>
        <v>Cube 1</v>
      </c>
      <c r="E43" s="23">
        <f>E42</f>
        <v>53</v>
      </c>
      <c r="F43" s="22"/>
      <c r="G43" s="22"/>
      <c r="H43" s="22"/>
    </row>
    <row r="44" spans="1:8" ht="15.75" thickBot="1" x14ac:dyDescent="0.3">
      <c r="A44" s="63"/>
      <c r="B44" s="34" t="str">
        <f t="shared" si="14"/>
        <v>Bohrkern 7</v>
      </c>
      <c r="C44" s="21" t="s">
        <v>25</v>
      </c>
      <c r="D44" s="22" t="str">
        <f t="shared" ref="D44:E44" si="17">D43</f>
        <v>Cube 1</v>
      </c>
      <c r="E44" s="23">
        <f t="shared" si="17"/>
        <v>53</v>
      </c>
      <c r="F44" s="22"/>
      <c r="G44" s="22"/>
      <c r="H44" s="22"/>
    </row>
    <row r="45" spans="1:8" ht="15.75" thickBot="1" x14ac:dyDescent="0.3">
      <c r="A45" s="64"/>
      <c r="B45" s="34" t="str">
        <f t="shared" si="14"/>
        <v>Bohrkern 7</v>
      </c>
      <c r="C45" s="25" t="s">
        <v>26</v>
      </c>
      <c r="D45" s="22" t="str">
        <f t="shared" ref="D45:E45" si="18">D44</f>
        <v>Cube 1</v>
      </c>
      <c r="E45" s="23">
        <f t="shared" si="18"/>
        <v>53</v>
      </c>
      <c r="F45" s="26"/>
      <c r="G45" s="26"/>
      <c r="H45" s="26"/>
    </row>
    <row r="46" spans="1:8" ht="15.75" thickBot="1" x14ac:dyDescent="0.3">
      <c r="A46" s="62">
        <v>4</v>
      </c>
      <c r="B46" s="34" t="str">
        <f t="shared" si="14"/>
        <v>Bohrkern 7</v>
      </c>
      <c r="C46" s="18" t="s">
        <v>23</v>
      </c>
      <c r="D46" s="31" t="str">
        <f>D42</f>
        <v>Cube 1</v>
      </c>
      <c r="E46" s="18">
        <f>E42</f>
        <v>53</v>
      </c>
      <c r="F46" s="19"/>
      <c r="G46" s="19"/>
      <c r="H46" s="19"/>
    </row>
    <row r="47" spans="1:8" ht="15.75" thickBot="1" x14ac:dyDescent="0.3">
      <c r="A47" s="63"/>
      <c r="B47" s="34" t="str">
        <f t="shared" si="14"/>
        <v>Bohrkern 7</v>
      </c>
      <c r="C47" s="21" t="s">
        <v>24</v>
      </c>
      <c r="D47" s="22" t="str">
        <f>D46</f>
        <v>Cube 1</v>
      </c>
      <c r="E47" s="23">
        <f>E46</f>
        <v>53</v>
      </c>
      <c r="F47" s="22"/>
      <c r="G47" s="22"/>
      <c r="H47" s="22"/>
    </row>
    <row r="48" spans="1:8" ht="15.75" thickBot="1" x14ac:dyDescent="0.3">
      <c r="A48" s="63"/>
      <c r="B48" s="34" t="str">
        <f t="shared" si="14"/>
        <v>Bohrkern 7</v>
      </c>
      <c r="C48" s="21" t="s">
        <v>25</v>
      </c>
      <c r="D48" s="22" t="str">
        <f t="shared" ref="D48:E48" si="19">D47</f>
        <v>Cube 1</v>
      </c>
      <c r="E48" s="23">
        <f t="shared" si="19"/>
        <v>53</v>
      </c>
      <c r="F48" s="22"/>
      <c r="G48" s="22"/>
      <c r="H48" s="22"/>
    </row>
    <row r="49" spans="1:8" ht="15.75" thickBot="1" x14ac:dyDescent="0.3">
      <c r="A49" s="64"/>
      <c r="B49" s="34" t="str">
        <f t="shared" si="14"/>
        <v>Bohrkern 7</v>
      </c>
      <c r="C49" s="25" t="s">
        <v>26</v>
      </c>
      <c r="D49" s="22" t="str">
        <f t="shared" ref="D49:E49" si="20">D48</f>
        <v>Cube 1</v>
      </c>
      <c r="E49" s="23">
        <f t="shared" si="20"/>
        <v>53</v>
      </c>
      <c r="F49" s="26"/>
      <c r="G49" s="26"/>
      <c r="H49" s="26"/>
    </row>
    <row r="50" spans="1:8" ht="15.75" thickBot="1" x14ac:dyDescent="0.3">
      <c r="A50" s="62">
        <v>5</v>
      </c>
      <c r="B50" s="34" t="str">
        <f t="shared" si="14"/>
        <v>Bohrkern 7</v>
      </c>
      <c r="C50" s="18" t="s">
        <v>23</v>
      </c>
      <c r="D50" s="31" t="str">
        <f>D46</f>
        <v>Cube 1</v>
      </c>
      <c r="E50" s="18">
        <f>E46</f>
        <v>53</v>
      </c>
      <c r="F50" s="19"/>
      <c r="G50" s="19"/>
      <c r="H50" s="19"/>
    </row>
    <row r="51" spans="1:8" ht="15.75" thickBot="1" x14ac:dyDescent="0.3">
      <c r="A51" s="63"/>
      <c r="B51" s="34" t="str">
        <f t="shared" si="14"/>
        <v>Bohrkern 7</v>
      </c>
      <c r="C51" s="21" t="s">
        <v>24</v>
      </c>
      <c r="D51" s="22" t="str">
        <f>D50</f>
        <v>Cube 1</v>
      </c>
      <c r="E51" s="23">
        <f>E50</f>
        <v>53</v>
      </c>
      <c r="F51" s="22"/>
      <c r="G51" s="22"/>
      <c r="H51" s="22"/>
    </row>
    <row r="52" spans="1:8" ht="15.75" thickBot="1" x14ac:dyDescent="0.3">
      <c r="A52" s="63"/>
      <c r="B52" s="34" t="str">
        <f t="shared" si="14"/>
        <v>Bohrkern 7</v>
      </c>
      <c r="C52" s="21" t="s">
        <v>25</v>
      </c>
      <c r="D52" s="22" t="str">
        <f t="shared" ref="D52:E52" si="21">D51</f>
        <v>Cube 1</v>
      </c>
      <c r="E52" s="23">
        <f t="shared" si="21"/>
        <v>53</v>
      </c>
      <c r="F52" s="22"/>
      <c r="G52" s="22"/>
      <c r="H52" s="22"/>
    </row>
    <row r="53" spans="1:8" ht="15.75" thickBot="1" x14ac:dyDescent="0.3">
      <c r="A53" s="64"/>
      <c r="B53" s="34" t="str">
        <f t="shared" si="14"/>
        <v>Bohrkern 7</v>
      </c>
      <c r="C53" s="25" t="s">
        <v>26</v>
      </c>
      <c r="D53" s="22" t="str">
        <f t="shared" ref="D53:E53" si="22">D52</f>
        <v>Cube 1</v>
      </c>
      <c r="E53" s="23">
        <f t="shared" si="22"/>
        <v>53</v>
      </c>
      <c r="F53" s="26"/>
      <c r="G53" s="26"/>
      <c r="H53" s="26"/>
    </row>
    <row r="54" spans="1:8" ht="15.75" thickBot="1" x14ac:dyDescent="0.3">
      <c r="A54" s="62">
        <v>6</v>
      </c>
      <c r="B54" s="34" t="str">
        <f t="shared" si="14"/>
        <v>Bohrkern 7</v>
      </c>
      <c r="C54" s="18" t="s">
        <v>23</v>
      </c>
      <c r="D54" s="31" t="str">
        <f>D50</f>
        <v>Cube 1</v>
      </c>
      <c r="E54" s="18">
        <f>E50</f>
        <v>53</v>
      </c>
      <c r="F54" s="19"/>
      <c r="G54" s="19"/>
      <c r="H54" s="19"/>
    </row>
    <row r="55" spans="1:8" ht="15.75" thickBot="1" x14ac:dyDescent="0.3">
      <c r="A55" s="63"/>
      <c r="B55" s="34" t="str">
        <f t="shared" si="14"/>
        <v>Bohrkern 7</v>
      </c>
      <c r="C55" s="21" t="s">
        <v>24</v>
      </c>
      <c r="D55" s="22" t="str">
        <f>D54</f>
        <v>Cube 1</v>
      </c>
      <c r="E55" s="23">
        <f>E54</f>
        <v>53</v>
      </c>
      <c r="F55" s="22"/>
      <c r="G55" s="22"/>
      <c r="H55" s="22"/>
    </row>
    <row r="56" spans="1:8" ht="15.75" thickBot="1" x14ac:dyDescent="0.3">
      <c r="A56" s="63"/>
      <c r="B56" s="34" t="str">
        <f t="shared" si="14"/>
        <v>Bohrkern 7</v>
      </c>
      <c r="C56" s="21" t="s">
        <v>25</v>
      </c>
      <c r="D56" s="22" t="str">
        <f t="shared" ref="D56:E56" si="23">D55</f>
        <v>Cube 1</v>
      </c>
      <c r="E56" s="23">
        <f t="shared" si="23"/>
        <v>53</v>
      </c>
      <c r="F56" s="22"/>
      <c r="G56" s="22"/>
      <c r="H56" s="22"/>
    </row>
    <row r="57" spans="1:8" ht="15.75" thickBot="1" x14ac:dyDescent="0.3">
      <c r="A57" s="64"/>
      <c r="B57" s="34" t="str">
        <f t="shared" si="14"/>
        <v>Bohrkern 7</v>
      </c>
      <c r="C57" s="25" t="s">
        <v>26</v>
      </c>
      <c r="D57" s="22" t="str">
        <f t="shared" ref="D57:E57" si="24">D56</f>
        <v>Cube 1</v>
      </c>
      <c r="E57" s="23">
        <f t="shared" si="24"/>
        <v>53</v>
      </c>
      <c r="F57" s="26"/>
      <c r="G57" s="26"/>
      <c r="H57" s="26"/>
    </row>
    <row r="58" spans="1:8" ht="15.75" thickBot="1" x14ac:dyDescent="0.3">
      <c r="A58" s="62">
        <v>7</v>
      </c>
      <c r="B58" s="34" t="str">
        <f t="shared" si="14"/>
        <v>Bohrkern 7</v>
      </c>
      <c r="C58" s="18" t="s">
        <v>23</v>
      </c>
      <c r="D58" s="31" t="str">
        <f>D54</f>
        <v>Cube 1</v>
      </c>
      <c r="E58" s="18">
        <f>E54</f>
        <v>53</v>
      </c>
      <c r="F58" s="19"/>
      <c r="G58" s="19"/>
      <c r="H58" s="19"/>
    </row>
    <row r="59" spans="1:8" ht="15.75" thickBot="1" x14ac:dyDescent="0.3">
      <c r="A59" s="63"/>
      <c r="B59" s="34" t="str">
        <f t="shared" si="14"/>
        <v>Bohrkern 7</v>
      </c>
      <c r="C59" s="21" t="s">
        <v>24</v>
      </c>
      <c r="D59" s="22" t="str">
        <f>D58</f>
        <v>Cube 1</v>
      </c>
      <c r="E59" s="23">
        <f>E58</f>
        <v>53</v>
      </c>
      <c r="F59" s="22"/>
      <c r="G59" s="22"/>
      <c r="H59" s="22"/>
    </row>
    <row r="60" spans="1:8" ht="15.75" thickBot="1" x14ac:dyDescent="0.3">
      <c r="A60" s="63"/>
      <c r="B60" s="34" t="str">
        <f t="shared" si="14"/>
        <v>Bohrkern 7</v>
      </c>
      <c r="C60" s="21" t="s">
        <v>25</v>
      </c>
      <c r="D60" s="22" t="str">
        <f t="shared" ref="D60:E60" si="25">D59</f>
        <v>Cube 1</v>
      </c>
      <c r="E60" s="23">
        <f t="shared" si="25"/>
        <v>53</v>
      </c>
      <c r="F60" s="22"/>
      <c r="G60" s="22"/>
      <c r="H60" s="22"/>
    </row>
    <row r="61" spans="1:8" ht="15.75" thickBot="1" x14ac:dyDescent="0.3">
      <c r="A61" s="64"/>
      <c r="B61" s="34" t="str">
        <f t="shared" si="14"/>
        <v>Bohrkern 7</v>
      </c>
      <c r="C61" s="25" t="s">
        <v>26</v>
      </c>
      <c r="D61" s="22" t="str">
        <f t="shared" ref="D61:E61" si="26">D60</f>
        <v>Cube 1</v>
      </c>
      <c r="E61" s="23">
        <f t="shared" si="26"/>
        <v>53</v>
      </c>
      <c r="F61" s="26"/>
      <c r="G61" s="26"/>
      <c r="H61" s="26"/>
    </row>
    <row r="62" spans="1:8" ht="15.75" thickBot="1" x14ac:dyDescent="0.3">
      <c r="A62" s="62">
        <v>8</v>
      </c>
      <c r="B62" s="34" t="str">
        <f t="shared" si="14"/>
        <v>Bohrkern 7</v>
      </c>
      <c r="C62" s="18" t="s">
        <v>23</v>
      </c>
      <c r="D62" s="31" t="str">
        <f>D58</f>
        <v>Cube 1</v>
      </c>
      <c r="E62" s="18">
        <f>E58</f>
        <v>53</v>
      </c>
      <c r="F62" s="19"/>
      <c r="G62" s="19"/>
      <c r="H62" s="19"/>
    </row>
    <row r="63" spans="1:8" ht="15.75" thickBot="1" x14ac:dyDescent="0.3">
      <c r="A63" s="63"/>
      <c r="B63" s="34" t="str">
        <f t="shared" si="14"/>
        <v>Bohrkern 7</v>
      </c>
      <c r="C63" s="21" t="s">
        <v>24</v>
      </c>
      <c r="D63" s="22" t="str">
        <f>D62</f>
        <v>Cube 1</v>
      </c>
      <c r="E63" s="23">
        <f>E62</f>
        <v>53</v>
      </c>
      <c r="F63" s="22"/>
      <c r="G63" s="22"/>
      <c r="H63" s="22"/>
    </row>
    <row r="64" spans="1:8" ht="15.75" thickBot="1" x14ac:dyDescent="0.3">
      <c r="A64" s="63"/>
      <c r="B64" s="34" t="str">
        <f t="shared" si="14"/>
        <v>Bohrkern 7</v>
      </c>
      <c r="C64" s="21" t="s">
        <v>25</v>
      </c>
      <c r="D64" s="22" t="str">
        <f t="shared" ref="D64:E64" si="27">D63</f>
        <v>Cube 1</v>
      </c>
      <c r="E64" s="23">
        <f t="shared" si="27"/>
        <v>53</v>
      </c>
      <c r="F64" s="22"/>
      <c r="G64" s="22"/>
      <c r="H64" s="22"/>
    </row>
    <row r="65" spans="1:8" ht="15.75" thickBot="1" x14ac:dyDescent="0.3">
      <c r="A65" s="64"/>
      <c r="B65" s="34" t="str">
        <f t="shared" si="14"/>
        <v>Bohrkern 7</v>
      </c>
      <c r="C65" s="25" t="s">
        <v>26</v>
      </c>
      <c r="D65" s="22" t="str">
        <f t="shared" ref="D65:E65" si="28">D64</f>
        <v>Cube 1</v>
      </c>
      <c r="E65" s="23">
        <f t="shared" si="28"/>
        <v>53</v>
      </c>
      <c r="F65" s="26"/>
      <c r="G65" s="26"/>
      <c r="H65" s="26"/>
    </row>
    <row r="66" spans="1:8" x14ac:dyDescent="0.25">
      <c r="A66" s="62">
        <v>1</v>
      </c>
      <c r="B66" s="34" t="s">
        <v>33</v>
      </c>
      <c r="C66" s="18" t="s">
        <v>23</v>
      </c>
      <c r="D66" s="33" t="s">
        <v>0</v>
      </c>
      <c r="E66" s="18">
        <v>87</v>
      </c>
      <c r="F66" s="19"/>
      <c r="G66" s="19"/>
      <c r="H66" s="19"/>
    </row>
    <row r="67" spans="1:8" x14ac:dyDescent="0.25">
      <c r="A67" s="63"/>
      <c r="B67" s="35" t="str">
        <f t="shared" ref="B67:B69" si="29">B66</f>
        <v>Bohrkern 7</v>
      </c>
      <c r="C67" s="21" t="s">
        <v>24</v>
      </c>
      <c r="D67" s="22" t="str">
        <f>D66</f>
        <v>Cube 1</v>
      </c>
      <c r="E67" s="23">
        <f>E66</f>
        <v>87</v>
      </c>
      <c r="F67" s="22"/>
      <c r="G67" s="22"/>
      <c r="H67" s="22"/>
    </row>
    <row r="68" spans="1:8" x14ac:dyDescent="0.25">
      <c r="A68" s="63"/>
      <c r="B68" s="35" t="str">
        <f t="shared" si="29"/>
        <v>Bohrkern 7</v>
      </c>
      <c r="C68" s="21" t="s">
        <v>25</v>
      </c>
      <c r="D68" s="22" t="str">
        <f t="shared" ref="D68:E68" si="30">D67</f>
        <v>Cube 1</v>
      </c>
      <c r="E68" s="23">
        <f t="shared" si="30"/>
        <v>87</v>
      </c>
      <c r="F68" s="22"/>
      <c r="G68" s="22"/>
      <c r="H68" s="22"/>
    </row>
    <row r="69" spans="1:8" ht="15.75" thickBot="1" x14ac:dyDescent="0.3">
      <c r="A69" s="64"/>
      <c r="B69" s="36" t="str">
        <f t="shared" si="29"/>
        <v>Bohrkern 7</v>
      </c>
      <c r="C69" s="25" t="s">
        <v>26</v>
      </c>
      <c r="D69" s="22" t="str">
        <f t="shared" ref="D69:E69" si="31">D68</f>
        <v>Cube 1</v>
      </c>
      <c r="E69" s="23">
        <f t="shared" si="31"/>
        <v>87</v>
      </c>
      <c r="F69" s="26"/>
      <c r="G69" s="26"/>
      <c r="H69" s="26"/>
    </row>
    <row r="70" spans="1:8" ht="15.75" thickBot="1" x14ac:dyDescent="0.3">
      <c r="A70" s="62">
        <v>2</v>
      </c>
      <c r="B70" s="34" t="str">
        <f>B66</f>
        <v>Bohrkern 7</v>
      </c>
      <c r="C70" s="18" t="s">
        <v>23</v>
      </c>
      <c r="D70" s="31" t="str">
        <f>D66</f>
        <v>Cube 1</v>
      </c>
      <c r="E70" s="18">
        <f>E66</f>
        <v>87</v>
      </c>
      <c r="F70" s="19"/>
      <c r="G70" s="19"/>
      <c r="H70" s="19"/>
    </row>
    <row r="71" spans="1:8" ht="15.75" thickBot="1" x14ac:dyDescent="0.3">
      <c r="A71" s="63"/>
      <c r="B71" s="34" t="str">
        <f t="shared" ref="B71:B97" si="32">B67</f>
        <v>Bohrkern 7</v>
      </c>
      <c r="C71" s="21" t="s">
        <v>24</v>
      </c>
      <c r="D71" s="22" t="str">
        <f>D70</f>
        <v>Cube 1</v>
      </c>
      <c r="E71" s="23">
        <f>E70</f>
        <v>87</v>
      </c>
      <c r="F71" s="22"/>
      <c r="G71" s="22"/>
      <c r="H71" s="22"/>
    </row>
    <row r="72" spans="1:8" ht="15.75" thickBot="1" x14ac:dyDescent="0.3">
      <c r="A72" s="63"/>
      <c r="B72" s="34" t="str">
        <f t="shared" si="32"/>
        <v>Bohrkern 7</v>
      </c>
      <c r="C72" s="21" t="s">
        <v>25</v>
      </c>
      <c r="D72" s="22" t="str">
        <f t="shared" ref="D72:E72" si="33">D71</f>
        <v>Cube 1</v>
      </c>
      <c r="E72" s="23">
        <f t="shared" si="33"/>
        <v>87</v>
      </c>
      <c r="F72" s="22"/>
      <c r="G72" s="22"/>
      <c r="H72" s="22"/>
    </row>
    <row r="73" spans="1:8" ht="15.75" thickBot="1" x14ac:dyDescent="0.3">
      <c r="A73" s="64"/>
      <c r="B73" s="34" t="str">
        <f t="shared" si="32"/>
        <v>Bohrkern 7</v>
      </c>
      <c r="C73" s="25" t="s">
        <v>26</v>
      </c>
      <c r="D73" s="22" t="str">
        <f t="shared" ref="D73:E73" si="34">D72</f>
        <v>Cube 1</v>
      </c>
      <c r="E73" s="23">
        <f t="shared" si="34"/>
        <v>87</v>
      </c>
      <c r="F73" s="26"/>
      <c r="G73" s="26"/>
      <c r="H73" s="26"/>
    </row>
    <row r="74" spans="1:8" ht="15.75" thickBot="1" x14ac:dyDescent="0.3">
      <c r="A74" s="62">
        <v>3</v>
      </c>
      <c r="B74" s="34" t="str">
        <f t="shared" si="32"/>
        <v>Bohrkern 7</v>
      </c>
      <c r="C74" s="18" t="s">
        <v>23</v>
      </c>
      <c r="D74" s="31" t="str">
        <f>D70</f>
        <v>Cube 1</v>
      </c>
      <c r="E74" s="18">
        <f>E70</f>
        <v>87</v>
      </c>
      <c r="F74" s="19"/>
      <c r="G74" s="19"/>
      <c r="H74" s="19"/>
    </row>
    <row r="75" spans="1:8" ht="15.75" thickBot="1" x14ac:dyDescent="0.3">
      <c r="A75" s="63"/>
      <c r="B75" s="34" t="str">
        <f t="shared" si="32"/>
        <v>Bohrkern 7</v>
      </c>
      <c r="C75" s="21" t="s">
        <v>24</v>
      </c>
      <c r="D75" s="22" t="str">
        <f>D74</f>
        <v>Cube 1</v>
      </c>
      <c r="E75" s="23">
        <f>E74</f>
        <v>87</v>
      </c>
      <c r="F75" s="22"/>
      <c r="G75" s="22"/>
      <c r="H75" s="22"/>
    </row>
    <row r="76" spans="1:8" ht="15.75" thickBot="1" x14ac:dyDescent="0.3">
      <c r="A76" s="63"/>
      <c r="B76" s="34" t="str">
        <f t="shared" si="32"/>
        <v>Bohrkern 7</v>
      </c>
      <c r="C76" s="21" t="s">
        <v>25</v>
      </c>
      <c r="D76" s="22" t="str">
        <f t="shared" ref="D76:E76" si="35">D75</f>
        <v>Cube 1</v>
      </c>
      <c r="E76" s="23">
        <f t="shared" si="35"/>
        <v>87</v>
      </c>
      <c r="F76" s="22"/>
      <c r="G76" s="22"/>
      <c r="H76" s="22"/>
    </row>
    <row r="77" spans="1:8" ht="15.75" thickBot="1" x14ac:dyDescent="0.3">
      <c r="A77" s="64"/>
      <c r="B77" s="34" t="str">
        <f t="shared" si="32"/>
        <v>Bohrkern 7</v>
      </c>
      <c r="C77" s="25" t="s">
        <v>26</v>
      </c>
      <c r="D77" s="22" t="str">
        <f t="shared" ref="D77:E77" si="36">D76</f>
        <v>Cube 1</v>
      </c>
      <c r="E77" s="23">
        <f t="shared" si="36"/>
        <v>87</v>
      </c>
      <c r="F77" s="26"/>
      <c r="G77" s="26"/>
      <c r="H77" s="26"/>
    </row>
    <row r="78" spans="1:8" ht="15.75" thickBot="1" x14ac:dyDescent="0.3">
      <c r="A78" s="62">
        <v>4</v>
      </c>
      <c r="B78" s="34" t="str">
        <f t="shared" si="32"/>
        <v>Bohrkern 7</v>
      </c>
      <c r="C78" s="18" t="s">
        <v>23</v>
      </c>
      <c r="D78" s="31" t="str">
        <f>D74</f>
        <v>Cube 1</v>
      </c>
      <c r="E78" s="18">
        <f>E74</f>
        <v>87</v>
      </c>
      <c r="F78" s="19"/>
      <c r="G78" s="19"/>
      <c r="H78" s="19"/>
    </row>
    <row r="79" spans="1:8" ht="15.75" thickBot="1" x14ac:dyDescent="0.3">
      <c r="A79" s="63"/>
      <c r="B79" s="34" t="str">
        <f t="shared" si="32"/>
        <v>Bohrkern 7</v>
      </c>
      <c r="C79" s="21" t="s">
        <v>24</v>
      </c>
      <c r="D79" s="22" t="str">
        <f>D78</f>
        <v>Cube 1</v>
      </c>
      <c r="E79" s="23">
        <f>E78</f>
        <v>87</v>
      </c>
      <c r="F79" s="22"/>
      <c r="G79" s="22"/>
      <c r="H79" s="22"/>
    </row>
    <row r="80" spans="1:8" ht="15.75" thickBot="1" x14ac:dyDescent="0.3">
      <c r="A80" s="63"/>
      <c r="B80" s="34" t="str">
        <f t="shared" si="32"/>
        <v>Bohrkern 7</v>
      </c>
      <c r="C80" s="21" t="s">
        <v>25</v>
      </c>
      <c r="D80" s="22" t="str">
        <f t="shared" ref="D80:E80" si="37">D79</f>
        <v>Cube 1</v>
      </c>
      <c r="E80" s="23">
        <f t="shared" si="37"/>
        <v>87</v>
      </c>
      <c r="F80" s="22"/>
      <c r="G80" s="22"/>
      <c r="H80" s="22"/>
    </row>
    <row r="81" spans="1:8" ht="15.75" thickBot="1" x14ac:dyDescent="0.3">
      <c r="A81" s="64"/>
      <c r="B81" s="34" t="str">
        <f t="shared" si="32"/>
        <v>Bohrkern 7</v>
      </c>
      <c r="C81" s="25" t="s">
        <v>26</v>
      </c>
      <c r="D81" s="22" t="str">
        <f t="shared" ref="D81:E81" si="38">D80</f>
        <v>Cube 1</v>
      </c>
      <c r="E81" s="23">
        <f t="shared" si="38"/>
        <v>87</v>
      </c>
      <c r="F81" s="26"/>
      <c r="G81" s="26"/>
      <c r="H81" s="26"/>
    </row>
    <row r="82" spans="1:8" ht="15.75" thickBot="1" x14ac:dyDescent="0.3">
      <c r="A82" s="62">
        <v>5</v>
      </c>
      <c r="B82" s="34" t="str">
        <f t="shared" si="32"/>
        <v>Bohrkern 7</v>
      </c>
      <c r="C82" s="18" t="s">
        <v>23</v>
      </c>
      <c r="D82" s="31" t="str">
        <f>D78</f>
        <v>Cube 1</v>
      </c>
      <c r="E82" s="18">
        <f>E78</f>
        <v>87</v>
      </c>
      <c r="F82" s="19"/>
      <c r="G82" s="19"/>
      <c r="H82" s="19"/>
    </row>
    <row r="83" spans="1:8" ht="15.75" thickBot="1" x14ac:dyDescent="0.3">
      <c r="A83" s="63"/>
      <c r="B83" s="34" t="str">
        <f t="shared" si="32"/>
        <v>Bohrkern 7</v>
      </c>
      <c r="C83" s="21" t="s">
        <v>24</v>
      </c>
      <c r="D83" s="22" t="str">
        <f>D82</f>
        <v>Cube 1</v>
      </c>
      <c r="E83" s="23">
        <f>E82</f>
        <v>87</v>
      </c>
      <c r="F83" s="22"/>
      <c r="G83" s="22"/>
      <c r="H83" s="22"/>
    </row>
    <row r="84" spans="1:8" ht="15.75" thickBot="1" x14ac:dyDescent="0.3">
      <c r="A84" s="63"/>
      <c r="B84" s="34" t="str">
        <f t="shared" si="32"/>
        <v>Bohrkern 7</v>
      </c>
      <c r="C84" s="21" t="s">
        <v>25</v>
      </c>
      <c r="D84" s="22" t="str">
        <f t="shared" ref="D84:E84" si="39">D83</f>
        <v>Cube 1</v>
      </c>
      <c r="E84" s="23">
        <f t="shared" si="39"/>
        <v>87</v>
      </c>
      <c r="F84" s="22"/>
      <c r="G84" s="22"/>
      <c r="H84" s="22"/>
    </row>
    <row r="85" spans="1:8" ht="15.75" thickBot="1" x14ac:dyDescent="0.3">
      <c r="A85" s="64"/>
      <c r="B85" s="34" t="str">
        <f t="shared" si="32"/>
        <v>Bohrkern 7</v>
      </c>
      <c r="C85" s="25" t="s">
        <v>26</v>
      </c>
      <c r="D85" s="22" t="str">
        <f t="shared" ref="D85:E85" si="40">D84</f>
        <v>Cube 1</v>
      </c>
      <c r="E85" s="23">
        <f t="shared" si="40"/>
        <v>87</v>
      </c>
      <c r="F85" s="26"/>
      <c r="G85" s="26"/>
      <c r="H85" s="26"/>
    </row>
    <row r="86" spans="1:8" ht="15.75" thickBot="1" x14ac:dyDescent="0.3">
      <c r="A86" s="62">
        <v>6</v>
      </c>
      <c r="B86" s="34" t="str">
        <f t="shared" si="32"/>
        <v>Bohrkern 7</v>
      </c>
      <c r="C86" s="18" t="s">
        <v>23</v>
      </c>
      <c r="D86" s="31" t="str">
        <f>D82</f>
        <v>Cube 1</v>
      </c>
      <c r="E86" s="18">
        <f>E82</f>
        <v>87</v>
      </c>
      <c r="F86" s="19"/>
      <c r="G86" s="19"/>
      <c r="H86" s="19"/>
    </row>
    <row r="87" spans="1:8" ht="15.75" thickBot="1" x14ac:dyDescent="0.3">
      <c r="A87" s="63"/>
      <c r="B87" s="34" t="str">
        <f t="shared" si="32"/>
        <v>Bohrkern 7</v>
      </c>
      <c r="C87" s="21" t="s">
        <v>24</v>
      </c>
      <c r="D87" s="22" t="str">
        <f>D86</f>
        <v>Cube 1</v>
      </c>
      <c r="E87" s="23">
        <f>E86</f>
        <v>87</v>
      </c>
      <c r="F87" s="22"/>
      <c r="G87" s="22"/>
      <c r="H87" s="22"/>
    </row>
    <row r="88" spans="1:8" ht="15.75" thickBot="1" x14ac:dyDescent="0.3">
      <c r="A88" s="63"/>
      <c r="B88" s="34" t="str">
        <f t="shared" si="32"/>
        <v>Bohrkern 7</v>
      </c>
      <c r="C88" s="21" t="s">
        <v>25</v>
      </c>
      <c r="D88" s="22" t="str">
        <f t="shared" ref="D88:E88" si="41">D87</f>
        <v>Cube 1</v>
      </c>
      <c r="E88" s="23">
        <f t="shared" si="41"/>
        <v>87</v>
      </c>
      <c r="F88" s="22"/>
      <c r="G88" s="22"/>
      <c r="H88" s="22"/>
    </row>
    <row r="89" spans="1:8" ht="15.75" thickBot="1" x14ac:dyDescent="0.3">
      <c r="A89" s="64"/>
      <c r="B89" s="34" t="str">
        <f t="shared" si="32"/>
        <v>Bohrkern 7</v>
      </c>
      <c r="C89" s="25" t="s">
        <v>26</v>
      </c>
      <c r="D89" s="22" t="str">
        <f t="shared" ref="D89:E89" si="42">D88</f>
        <v>Cube 1</v>
      </c>
      <c r="E89" s="23">
        <f t="shared" si="42"/>
        <v>87</v>
      </c>
      <c r="F89" s="26"/>
      <c r="G89" s="26"/>
      <c r="H89" s="26"/>
    </row>
    <row r="90" spans="1:8" ht="15.75" thickBot="1" x14ac:dyDescent="0.3">
      <c r="A90" s="62">
        <v>7</v>
      </c>
      <c r="B90" s="34" t="str">
        <f t="shared" si="32"/>
        <v>Bohrkern 7</v>
      </c>
      <c r="C90" s="18" t="s">
        <v>23</v>
      </c>
      <c r="D90" s="31" t="str">
        <f>D86</f>
        <v>Cube 1</v>
      </c>
      <c r="E90" s="18">
        <f>E86</f>
        <v>87</v>
      </c>
      <c r="F90" s="19"/>
      <c r="G90" s="19"/>
      <c r="H90" s="19"/>
    </row>
    <row r="91" spans="1:8" ht="15.75" thickBot="1" x14ac:dyDescent="0.3">
      <c r="A91" s="63"/>
      <c r="B91" s="34" t="str">
        <f t="shared" si="32"/>
        <v>Bohrkern 7</v>
      </c>
      <c r="C91" s="21" t="s">
        <v>24</v>
      </c>
      <c r="D91" s="22" t="str">
        <f>D90</f>
        <v>Cube 1</v>
      </c>
      <c r="E91" s="23">
        <f>E90</f>
        <v>87</v>
      </c>
      <c r="F91" s="22"/>
      <c r="G91" s="22"/>
      <c r="H91" s="22"/>
    </row>
    <row r="92" spans="1:8" ht="15.75" thickBot="1" x14ac:dyDescent="0.3">
      <c r="A92" s="63"/>
      <c r="B92" s="34" t="str">
        <f t="shared" si="32"/>
        <v>Bohrkern 7</v>
      </c>
      <c r="C92" s="21" t="s">
        <v>25</v>
      </c>
      <c r="D92" s="22" t="str">
        <f t="shared" ref="D92:E92" si="43">D91</f>
        <v>Cube 1</v>
      </c>
      <c r="E92" s="23">
        <f t="shared" si="43"/>
        <v>87</v>
      </c>
      <c r="F92" s="22"/>
      <c r="G92" s="22"/>
      <c r="H92" s="22"/>
    </row>
    <row r="93" spans="1:8" ht="15.75" thickBot="1" x14ac:dyDescent="0.3">
      <c r="A93" s="64"/>
      <c r="B93" s="34" t="str">
        <f t="shared" si="32"/>
        <v>Bohrkern 7</v>
      </c>
      <c r="C93" s="25" t="s">
        <v>26</v>
      </c>
      <c r="D93" s="22" t="str">
        <f t="shared" ref="D93:E93" si="44">D92</f>
        <v>Cube 1</v>
      </c>
      <c r="E93" s="23">
        <f t="shared" si="44"/>
        <v>87</v>
      </c>
      <c r="F93" s="26"/>
      <c r="G93" s="26"/>
      <c r="H93" s="26"/>
    </row>
    <row r="94" spans="1:8" ht="15.75" thickBot="1" x14ac:dyDescent="0.3">
      <c r="A94" s="62">
        <v>8</v>
      </c>
      <c r="B94" s="34" t="str">
        <f t="shared" si="32"/>
        <v>Bohrkern 7</v>
      </c>
      <c r="C94" s="18" t="s">
        <v>23</v>
      </c>
      <c r="D94" s="31" t="str">
        <f>D90</f>
        <v>Cube 1</v>
      </c>
      <c r="E94" s="18">
        <f>E90</f>
        <v>87</v>
      </c>
      <c r="F94" s="19"/>
      <c r="G94" s="19"/>
      <c r="H94" s="19"/>
    </row>
    <row r="95" spans="1:8" ht="15.75" thickBot="1" x14ac:dyDescent="0.3">
      <c r="A95" s="63"/>
      <c r="B95" s="34" t="str">
        <f t="shared" si="32"/>
        <v>Bohrkern 7</v>
      </c>
      <c r="C95" s="21" t="s">
        <v>24</v>
      </c>
      <c r="D95" s="22" t="str">
        <f>D94</f>
        <v>Cube 1</v>
      </c>
      <c r="E95" s="23">
        <f>E94</f>
        <v>87</v>
      </c>
      <c r="F95" s="22"/>
      <c r="G95" s="22"/>
      <c r="H95" s="22"/>
    </row>
    <row r="96" spans="1:8" ht="15.75" thickBot="1" x14ac:dyDescent="0.3">
      <c r="A96" s="63"/>
      <c r="B96" s="34" t="str">
        <f t="shared" si="32"/>
        <v>Bohrkern 7</v>
      </c>
      <c r="C96" s="21" t="s">
        <v>25</v>
      </c>
      <c r="D96" s="22" t="str">
        <f t="shared" ref="D96:E96" si="45">D95</f>
        <v>Cube 1</v>
      </c>
      <c r="E96" s="23">
        <f t="shared" si="45"/>
        <v>87</v>
      </c>
      <c r="F96" s="22"/>
      <c r="G96" s="22"/>
      <c r="H96" s="22"/>
    </row>
    <row r="97" spans="1:8" ht="15.75" thickBot="1" x14ac:dyDescent="0.3">
      <c r="A97" s="64"/>
      <c r="B97" s="34" t="str">
        <f t="shared" si="32"/>
        <v>Bohrkern 7</v>
      </c>
      <c r="C97" s="25" t="s">
        <v>26</v>
      </c>
      <c r="D97" s="22" t="str">
        <f t="shared" ref="D97:E97" si="46">D96</f>
        <v>Cube 1</v>
      </c>
      <c r="E97" s="23">
        <f t="shared" si="46"/>
        <v>87</v>
      </c>
      <c r="F97" s="26"/>
      <c r="G97" s="26"/>
      <c r="H97" s="26"/>
    </row>
    <row r="98" spans="1:8" x14ac:dyDescent="0.25">
      <c r="A98" s="62">
        <v>1</v>
      </c>
      <c r="B98" s="34" t="s">
        <v>33</v>
      </c>
      <c r="C98" s="18" t="s">
        <v>23</v>
      </c>
      <c r="D98" s="33" t="s">
        <v>0</v>
      </c>
      <c r="E98" s="18">
        <v>112</v>
      </c>
      <c r="F98" s="19"/>
      <c r="G98" s="19"/>
      <c r="H98" s="19"/>
    </row>
    <row r="99" spans="1:8" x14ac:dyDescent="0.25">
      <c r="A99" s="63"/>
      <c r="B99" s="35" t="str">
        <f t="shared" ref="B99:B101" si="47">B98</f>
        <v>Bohrkern 7</v>
      </c>
      <c r="C99" s="21" t="s">
        <v>24</v>
      </c>
      <c r="D99" s="22" t="str">
        <f>D98</f>
        <v>Cube 1</v>
      </c>
      <c r="E99" s="23">
        <f>E98</f>
        <v>112</v>
      </c>
      <c r="F99" s="22"/>
      <c r="G99" s="22"/>
      <c r="H99" s="22"/>
    </row>
    <row r="100" spans="1:8" x14ac:dyDescent="0.25">
      <c r="A100" s="63"/>
      <c r="B100" s="35" t="str">
        <f t="shared" si="47"/>
        <v>Bohrkern 7</v>
      </c>
      <c r="C100" s="21" t="s">
        <v>25</v>
      </c>
      <c r="D100" s="22" t="str">
        <f t="shared" ref="D100:E100" si="48">D99</f>
        <v>Cube 1</v>
      </c>
      <c r="E100" s="23">
        <f t="shared" si="48"/>
        <v>112</v>
      </c>
      <c r="F100" s="22"/>
      <c r="G100" s="22"/>
      <c r="H100" s="22"/>
    </row>
    <row r="101" spans="1:8" ht="15.75" thickBot="1" x14ac:dyDescent="0.3">
      <c r="A101" s="64"/>
      <c r="B101" s="36" t="str">
        <f t="shared" si="47"/>
        <v>Bohrkern 7</v>
      </c>
      <c r="C101" s="25" t="s">
        <v>26</v>
      </c>
      <c r="D101" s="22" t="str">
        <f t="shared" ref="D101:E101" si="49">D100</f>
        <v>Cube 1</v>
      </c>
      <c r="E101" s="23">
        <f t="shared" si="49"/>
        <v>112</v>
      </c>
      <c r="F101" s="26"/>
      <c r="G101" s="26"/>
      <c r="H101" s="26"/>
    </row>
    <row r="102" spans="1:8" ht="15.75" thickBot="1" x14ac:dyDescent="0.3">
      <c r="A102" s="62">
        <v>2</v>
      </c>
      <c r="B102" s="34" t="str">
        <f>B98</f>
        <v>Bohrkern 7</v>
      </c>
      <c r="C102" s="18" t="s">
        <v>23</v>
      </c>
      <c r="D102" s="31" t="str">
        <f>D98</f>
        <v>Cube 1</v>
      </c>
      <c r="E102" s="18">
        <f>E98</f>
        <v>112</v>
      </c>
      <c r="F102" s="19"/>
      <c r="G102" s="19"/>
      <c r="H102" s="19"/>
    </row>
    <row r="103" spans="1:8" ht="15.75" thickBot="1" x14ac:dyDescent="0.3">
      <c r="A103" s="63"/>
      <c r="B103" s="34" t="str">
        <f t="shared" ref="B103:B129" si="50">B99</f>
        <v>Bohrkern 7</v>
      </c>
      <c r="C103" s="21" t="s">
        <v>24</v>
      </c>
      <c r="D103" s="22" t="str">
        <f>D102</f>
        <v>Cube 1</v>
      </c>
      <c r="E103" s="23">
        <f>E102</f>
        <v>112</v>
      </c>
      <c r="F103" s="22"/>
      <c r="G103" s="22"/>
      <c r="H103" s="22"/>
    </row>
    <row r="104" spans="1:8" ht="15.75" thickBot="1" x14ac:dyDescent="0.3">
      <c r="A104" s="63"/>
      <c r="B104" s="34" t="str">
        <f t="shared" si="50"/>
        <v>Bohrkern 7</v>
      </c>
      <c r="C104" s="21" t="s">
        <v>25</v>
      </c>
      <c r="D104" s="22" t="str">
        <f t="shared" ref="D104:E104" si="51">D103</f>
        <v>Cube 1</v>
      </c>
      <c r="E104" s="23">
        <f t="shared" si="51"/>
        <v>112</v>
      </c>
      <c r="F104" s="22"/>
      <c r="G104" s="22"/>
      <c r="H104" s="22"/>
    </row>
    <row r="105" spans="1:8" ht="15.75" thickBot="1" x14ac:dyDescent="0.3">
      <c r="A105" s="64"/>
      <c r="B105" s="34" t="str">
        <f t="shared" si="50"/>
        <v>Bohrkern 7</v>
      </c>
      <c r="C105" s="25" t="s">
        <v>26</v>
      </c>
      <c r="D105" s="22" t="str">
        <f t="shared" ref="D105:E105" si="52">D104</f>
        <v>Cube 1</v>
      </c>
      <c r="E105" s="23">
        <f t="shared" si="52"/>
        <v>112</v>
      </c>
      <c r="F105" s="26"/>
      <c r="G105" s="26"/>
      <c r="H105" s="26"/>
    </row>
    <row r="106" spans="1:8" ht="15.75" thickBot="1" x14ac:dyDescent="0.3">
      <c r="A106" s="62">
        <v>3</v>
      </c>
      <c r="B106" s="34" t="str">
        <f t="shared" si="50"/>
        <v>Bohrkern 7</v>
      </c>
      <c r="C106" s="18" t="s">
        <v>23</v>
      </c>
      <c r="D106" s="31" t="str">
        <f>D102</f>
        <v>Cube 1</v>
      </c>
      <c r="E106" s="18">
        <f>E102</f>
        <v>112</v>
      </c>
      <c r="F106" s="19"/>
      <c r="G106" s="19"/>
      <c r="H106" s="19"/>
    </row>
    <row r="107" spans="1:8" ht="15.75" thickBot="1" x14ac:dyDescent="0.3">
      <c r="A107" s="63"/>
      <c r="B107" s="34" t="str">
        <f t="shared" si="50"/>
        <v>Bohrkern 7</v>
      </c>
      <c r="C107" s="21" t="s">
        <v>24</v>
      </c>
      <c r="D107" s="22" t="str">
        <f>D106</f>
        <v>Cube 1</v>
      </c>
      <c r="E107" s="23">
        <f>E106</f>
        <v>112</v>
      </c>
      <c r="F107" s="22"/>
      <c r="G107" s="22"/>
      <c r="H107" s="22"/>
    </row>
    <row r="108" spans="1:8" ht="15.75" thickBot="1" x14ac:dyDescent="0.3">
      <c r="A108" s="63"/>
      <c r="B108" s="34" t="str">
        <f t="shared" si="50"/>
        <v>Bohrkern 7</v>
      </c>
      <c r="C108" s="21" t="s">
        <v>25</v>
      </c>
      <c r="D108" s="22" t="str">
        <f t="shared" ref="D108:E108" si="53">D107</f>
        <v>Cube 1</v>
      </c>
      <c r="E108" s="23">
        <f t="shared" si="53"/>
        <v>112</v>
      </c>
      <c r="F108" s="22"/>
      <c r="G108" s="22"/>
      <c r="H108" s="22"/>
    </row>
    <row r="109" spans="1:8" ht="15.75" thickBot="1" x14ac:dyDescent="0.3">
      <c r="A109" s="64"/>
      <c r="B109" s="34" t="str">
        <f t="shared" si="50"/>
        <v>Bohrkern 7</v>
      </c>
      <c r="C109" s="25" t="s">
        <v>26</v>
      </c>
      <c r="D109" s="22" t="str">
        <f t="shared" ref="D109:E109" si="54">D108</f>
        <v>Cube 1</v>
      </c>
      <c r="E109" s="23">
        <f t="shared" si="54"/>
        <v>112</v>
      </c>
      <c r="F109" s="26"/>
      <c r="G109" s="26"/>
      <c r="H109" s="26"/>
    </row>
    <row r="110" spans="1:8" ht="15.75" thickBot="1" x14ac:dyDescent="0.3">
      <c r="A110" s="62">
        <v>4</v>
      </c>
      <c r="B110" s="34" t="str">
        <f t="shared" si="50"/>
        <v>Bohrkern 7</v>
      </c>
      <c r="C110" s="18" t="s">
        <v>23</v>
      </c>
      <c r="D110" s="31" t="str">
        <f>D106</f>
        <v>Cube 1</v>
      </c>
      <c r="E110" s="18">
        <f>E106</f>
        <v>112</v>
      </c>
      <c r="F110" s="19"/>
      <c r="G110" s="19"/>
      <c r="H110" s="19"/>
    </row>
    <row r="111" spans="1:8" ht="15.75" thickBot="1" x14ac:dyDescent="0.3">
      <c r="A111" s="63"/>
      <c r="B111" s="34" t="str">
        <f t="shared" si="50"/>
        <v>Bohrkern 7</v>
      </c>
      <c r="C111" s="21" t="s">
        <v>24</v>
      </c>
      <c r="D111" s="22" t="str">
        <f>D110</f>
        <v>Cube 1</v>
      </c>
      <c r="E111" s="23">
        <f>E110</f>
        <v>112</v>
      </c>
      <c r="F111" s="22"/>
      <c r="G111" s="22"/>
      <c r="H111" s="22"/>
    </row>
    <row r="112" spans="1:8" ht="15.75" thickBot="1" x14ac:dyDescent="0.3">
      <c r="A112" s="63"/>
      <c r="B112" s="34" t="str">
        <f t="shared" si="50"/>
        <v>Bohrkern 7</v>
      </c>
      <c r="C112" s="21" t="s">
        <v>25</v>
      </c>
      <c r="D112" s="22" t="str">
        <f t="shared" ref="D112:E112" si="55">D111</f>
        <v>Cube 1</v>
      </c>
      <c r="E112" s="23">
        <f t="shared" si="55"/>
        <v>112</v>
      </c>
      <c r="F112" s="22"/>
      <c r="G112" s="22"/>
      <c r="H112" s="22"/>
    </row>
    <row r="113" spans="1:8" ht="15.75" thickBot="1" x14ac:dyDescent="0.3">
      <c r="A113" s="64"/>
      <c r="B113" s="34" t="str">
        <f t="shared" si="50"/>
        <v>Bohrkern 7</v>
      </c>
      <c r="C113" s="25" t="s">
        <v>26</v>
      </c>
      <c r="D113" s="22" t="str">
        <f t="shared" ref="D113:E113" si="56">D112</f>
        <v>Cube 1</v>
      </c>
      <c r="E113" s="23">
        <f t="shared" si="56"/>
        <v>112</v>
      </c>
      <c r="F113" s="26"/>
      <c r="G113" s="26"/>
      <c r="H113" s="26"/>
    </row>
    <row r="114" spans="1:8" ht="15.75" thickBot="1" x14ac:dyDescent="0.3">
      <c r="A114" s="62">
        <v>5</v>
      </c>
      <c r="B114" s="34" t="str">
        <f t="shared" si="50"/>
        <v>Bohrkern 7</v>
      </c>
      <c r="C114" s="18" t="s">
        <v>23</v>
      </c>
      <c r="D114" s="31" t="str">
        <f>D110</f>
        <v>Cube 1</v>
      </c>
      <c r="E114" s="18">
        <f>E110</f>
        <v>112</v>
      </c>
      <c r="F114" s="19"/>
      <c r="G114" s="19"/>
      <c r="H114" s="19"/>
    </row>
    <row r="115" spans="1:8" ht="15.75" thickBot="1" x14ac:dyDescent="0.3">
      <c r="A115" s="63"/>
      <c r="B115" s="34" t="str">
        <f t="shared" si="50"/>
        <v>Bohrkern 7</v>
      </c>
      <c r="C115" s="21" t="s">
        <v>24</v>
      </c>
      <c r="D115" s="22" t="str">
        <f>D114</f>
        <v>Cube 1</v>
      </c>
      <c r="E115" s="23">
        <f>E114</f>
        <v>112</v>
      </c>
      <c r="F115" s="22"/>
      <c r="G115" s="22"/>
      <c r="H115" s="22"/>
    </row>
    <row r="116" spans="1:8" ht="15.75" thickBot="1" x14ac:dyDescent="0.3">
      <c r="A116" s="63"/>
      <c r="B116" s="34" t="str">
        <f t="shared" si="50"/>
        <v>Bohrkern 7</v>
      </c>
      <c r="C116" s="21" t="s">
        <v>25</v>
      </c>
      <c r="D116" s="22" t="str">
        <f t="shared" ref="D116:E116" si="57">D115</f>
        <v>Cube 1</v>
      </c>
      <c r="E116" s="23">
        <f t="shared" si="57"/>
        <v>112</v>
      </c>
      <c r="F116" s="22"/>
      <c r="G116" s="22"/>
      <c r="H116" s="22"/>
    </row>
    <row r="117" spans="1:8" ht="15.75" thickBot="1" x14ac:dyDescent="0.3">
      <c r="A117" s="64"/>
      <c r="B117" s="34" t="str">
        <f t="shared" si="50"/>
        <v>Bohrkern 7</v>
      </c>
      <c r="C117" s="25" t="s">
        <v>26</v>
      </c>
      <c r="D117" s="22" t="str">
        <f t="shared" ref="D117:E117" si="58">D116</f>
        <v>Cube 1</v>
      </c>
      <c r="E117" s="23">
        <f t="shared" si="58"/>
        <v>112</v>
      </c>
      <c r="F117" s="26"/>
      <c r="G117" s="26"/>
      <c r="H117" s="26"/>
    </row>
    <row r="118" spans="1:8" ht="15.75" thickBot="1" x14ac:dyDescent="0.3">
      <c r="A118" s="62">
        <v>6</v>
      </c>
      <c r="B118" s="34" t="str">
        <f t="shared" si="50"/>
        <v>Bohrkern 7</v>
      </c>
      <c r="C118" s="18" t="s">
        <v>23</v>
      </c>
      <c r="D118" s="31" t="str">
        <f>D114</f>
        <v>Cube 1</v>
      </c>
      <c r="E118" s="18">
        <f>E114</f>
        <v>112</v>
      </c>
      <c r="F118" s="19"/>
      <c r="G118" s="19"/>
      <c r="H118" s="19"/>
    </row>
    <row r="119" spans="1:8" ht="15.75" thickBot="1" x14ac:dyDescent="0.3">
      <c r="A119" s="63"/>
      <c r="B119" s="34" t="str">
        <f t="shared" si="50"/>
        <v>Bohrkern 7</v>
      </c>
      <c r="C119" s="21" t="s">
        <v>24</v>
      </c>
      <c r="D119" s="22" t="str">
        <f>D118</f>
        <v>Cube 1</v>
      </c>
      <c r="E119" s="23">
        <f>E118</f>
        <v>112</v>
      </c>
      <c r="F119" s="22"/>
      <c r="G119" s="22"/>
      <c r="H119" s="22"/>
    </row>
    <row r="120" spans="1:8" ht="15.75" thickBot="1" x14ac:dyDescent="0.3">
      <c r="A120" s="63"/>
      <c r="B120" s="34" t="str">
        <f t="shared" si="50"/>
        <v>Bohrkern 7</v>
      </c>
      <c r="C120" s="21" t="s">
        <v>25</v>
      </c>
      <c r="D120" s="22" t="str">
        <f t="shared" ref="D120:E120" si="59">D119</f>
        <v>Cube 1</v>
      </c>
      <c r="E120" s="23">
        <f t="shared" si="59"/>
        <v>112</v>
      </c>
      <c r="F120" s="22"/>
      <c r="G120" s="22"/>
      <c r="H120" s="22"/>
    </row>
    <row r="121" spans="1:8" ht="15.75" thickBot="1" x14ac:dyDescent="0.3">
      <c r="A121" s="64"/>
      <c r="B121" s="34" t="str">
        <f t="shared" si="50"/>
        <v>Bohrkern 7</v>
      </c>
      <c r="C121" s="25" t="s">
        <v>26</v>
      </c>
      <c r="D121" s="22" t="str">
        <f t="shared" ref="D121:E121" si="60">D120</f>
        <v>Cube 1</v>
      </c>
      <c r="E121" s="23">
        <f t="shared" si="60"/>
        <v>112</v>
      </c>
      <c r="F121" s="26"/>
      <c r="G121" s="26"/>
      <c r="H121" s="26"/>
    </row>
    <row r="122" spans="1:8" ht="15.75" thickBot="1" x14ac:dyDescent="0.3">
      <c r="A122" s="62">
        <v>7</v>
      </c>
      <c r="B122" s="34" t="str">
        <f t="shared" si="50"/>
        <v>Bohrkern 7</v>
      </c>
      <c r="C122" s="18" t="s">
        <v>23</v>
      </c>
      <c r="D122" s="31" t="str">
        <f>D118</f>
        <v>Cube 1</v>
      </c>
      <c r="E122" s="18">
        <f>E118</f>
        <v>112</v>
      </c>
      <c r="F122" s="19"/>
      <c r="G122" s="19"/>
      <c r="H122" s="19"/>
    </row>
    <row r="123" spans="1:8" ht="15.75" thickBot="1" x14ac:dyDescent="0.3">
      <c r="A123" s="63"/>
      <c r="B123" s="34" t="str">
        <f t="shared" si="50"/>
        <v>Bohrkern 7</v>
      </c>
      <c r="C123" s="21" t="s">
        <v>24</v>
      </c>
      <c r="D123" s="22" t="str">
        <f>D122</f>
        <v>Cube 1</v>
      </c>
      <c r="E123" s="23">
        <f>E122</f>
        <v>112</v>
      </c>
      <c r="F123" s="22"/>
      <c r="G123" s="22"/>
      <c r="H123" s="22"/>
    </row>
    <row r="124" spans="1:8" ht="15.75" thickBot="1" x14ac:dyDescent="0.3">
      <c r="A124" s="63"/>
      <c r="B124" s="34" t="str">
        <f t="shared" si="50"/>
        <v>Bohrkern 7</v>
      </c>
      <c r="C124" s="21" t="s">
        <v>25</v>
      </c>
      <c r="D124" s="22" t="str">
        <f t="shared" ref="D124:E124" si="61">D123</f>
        <v>Cube 1</v>
      </c>
      <c r="E124" s="23">
        <f t="shared" si="61"/>
        <v>112</v>
      </c>
      <c r="F124" s="22"/>
      <c r="G124" s="22"/>
      <c r="H124" s="22"/>
    </row>
    <row r="125" spans="1:8" ht="15.75" thickBot="1" x14ac:dyDescent="0.3">
      <c r="A125" s="64"/>
      <c r="B125" s="34" t="str">
        <f t="shared" si="50"/>
        <v>Bohrkern 7</v>
      </c>
      <c r="C125" s="25" t="s">
        <v>26</v>
      </c>
      <c r="D125" s="22" t="str">
        <f t="shared" ref="D125:E125" si="62">D124</f>
        <v>Cube 1</v>
      </c>
      <c r="E125" s="23">
        <f t="shared" si="62"/>
        <v>112</v>
      </c>
      <c r="F125" s="26"/>
      <c r="G125" s="26"/>
      <c r="H125" s="26"/>
    </row>
    <row r="126" spans="1:8" ht="15.75" thickBot="1" x14ac:dyDescent="0.3">
      <c r="A126" s="62">
        <v>8</v>
      </c>
      <c r="B126" s="34" t="str">
        <f t="shared" si="50"/>
        <v>Bohrkern 7</v>
      </c>
      <c r="C126" s="18" t="s">
        <v>23</v>
      </c>
      <c r="D126" s="31" t="str">
        <f>D122</f>
        <v>Cube 1</v>
      </c>
      <c r="E126" s="18">
        <f>E122</f>
        <v>112</v>
      </c>
      <c r="F126" s="19"/>
      <c r="G126" s="19"/>
      <c r="H126" s="19"/>
    </row>
    <row r="127" spans="1:8" ht="15.75" thickBot="1" x14ac:dyDescent="0.3">
      <c r="A127" s="63"/>
      <c r="B127" s="34" t="str">
        <f t="shared" si="50"/>
        <v>Bohrkern 7</v>
      </c>
      <c r="C127" s="21" t="s">
        <v>24</v>
      </c>
      <c r="D127" s="22" t="str">
        <f>D126</f>
        <v>Cube 1</v>
      </c>
      <c r="E127" s="23">
        <f>E126</f>
        <v>112</v>
      </c>
      <c r="F127" s="22"/>
      <c r="G127" s="22"/>
      <c r="H127" s="22"/>
    </row>
    <row r="128" spans="1:8" ht="15.75" thickBot="1" x14ac:dyDescent="0.3">
      <c r="A128" s="63"/>
      <c r="B128" s="34" t="str">
        <f t="shared" si="50"/>
        <v>Bohrkern 7</v>
      </c>
      <c r="C128" s="21" t="s">
        <v>25</v>
      </c>
      <c r="D128" s="22" t="str">
        <f t="shared" ref="D128:E128" si="63">D127</f>
        <v>Cube 1</v>
      </c>
      <c r="E128" s="23">
        <f t="shared" si="63"/>
        <v>112</v>
      </c>
      <c r="F128" s="22"/>
      <c r="G128" s="22"/>
      <c r="H128" s="22"/>
    </row>
    <row r="129" spans="1:8" ht="15.75" thickBot="1" x14ac:dyDescent="0.3">
      <c r="A129" s="64"/>
      <c r="B129" s="34" t="str">
        <f t="shared" si="50"/>
        <v>Bohrkern 7</v>
      </c>
      <c r="C129" s="25" t="s">
        <v>26</v>
      </c>
      <c r="D129" s="22" t="str">
        <f t="shared" ref="D129:E129" si="64">D128</f>
        <v>Cube 1</v>
      </c>
      <c r="E129" s="23">
        <f t="shared" si="64"/>
        <v>112</v>
      </c>
      <c r="F129" s="26"/>
      <c r="G129" s="26"/>
      <c r="H129" s="26"/>
    </row>
  </sheetData>
  <mergeCells count="32">
    <mergeCell ref="A46:A49"/>
    <mergeCell ref="A2:A5"/>
    <mergeCell ref="A6:A9"/>
    <mergeCell ref="A10:A13"/>
    <mergeCell ref="A14:A17"/>
    <mergeCell ref="A18:A21"/>
    <mergeCell ref="A22:A25"/>
    <mergeCell ref="A26:A29"/>
    <mergeCell ref="A30:A33"/>
    <mergeCell ref="A34:A37"/>
    <mergeCell ref="A38:A41"/>
    <mergeCell ref="A42:A45"/>
    <mergeCell ref="A94:A97"/>
    <mergeCell ref="A50:A53"/>
    <mergeCell ref="A54:A57"/>
    <mergeCell ref="A58:A61"/>
    <mergeCell ref="A62:A65"/>
    <mergeCell ref="A66:A69"/>
    <mergeCell ref="A70:A73"/>
    <mergeCell ref="A74:A77"/>
    <mergeCell ref="A78:A81"/>
    <mergeCell ref="A82:A85"/>
    <mergeCell ref="A86:A89"/>
    <mergeCell ref="A90:A93"/>
    <mergeCell ref="A122:A125"/>
    <mergeCell ref="A126:A129"/>
    <mergeCell ref="A98:A101"/>
    <mergeCell ref="A102:A105"/>
    <mergeCell ref="A106:A109"/>
    <mergeCell ref="A110:A113"/>
    <mergeCell ref="A114:A117"/>
    <mergeCell ref="A118:A121"/>
  </mergeCells>
  <pageMargins left="0.25" right="0.25" top="0.75" bottom="0.75" header="0.3" footer="0.3"/>
  <pageSetup paperSize="9" orientation="portrait" r:id="rId1"/>
  <rowBreaks count="1" manualBreakCount="1">
    <brk id="45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2018-07-13T11:47:44Z</dcterms:modified>
</cp:coreProperties>
</file>